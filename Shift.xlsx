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cscomprod-my.sharepoint.com/personal/1852267_tcs_com/Documents/Desktop/"/>
    </mc:Choice>
  </mc:AlternateContent>
  <xr:revisionPtr revIDLastSave="0" documentId="8_{1DC28592-BA4B-434B-A43F-6543FE539F7B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GE Healthcare " sheetId="10" r:id="rId1"/>
    <sheet name="PASSWORDS" sheetId="11" r:id="rId2"/>
    <sheet name="Password" sheetId="12" r:id="rId3"/>
    <sheet name="Grade Duration" sheetId="13" r:id="rId4"/>
    <sheet name="2026" sheetId="18" r:id="rId5"/>
    <sheet name="Email IDs" sheetId="22" r:id="rId6"/>
    <sheet name="Salary Slip - 2026" sheetId="20" r:id="rId7"/>
    <sheet name="CTC Compare (2026)" sheetId="21" r:id="rId8"/>
    <sheet name="Shift Monitoring" sheetId="17" r:id="rId9"/>
    <sheet name="2025" sheetId="2" r:id="rId10"/>
    <sheet name="Salary Slip - 2025" sheetId="14" r:id="rId11"/>
    <sheet name="CTC Compare" sheetId="8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8" l="1"/>
  <c r="K37" i="18"/>
  <c r="K35" i="18"/>
  <c r="K42" i="18" s="1"/>
  <c r="K36" i="18"/>
  <c r="G15" i="20"/>
  <c r="G21" i="20"/>
  <c r="G7" i="20"/>
  <c r="B7" i="20"/>
  <c r="B10" i="20" s="1"/>
  <c r="C7" i="20"/>
  <c r="D7" i="20"/>
  <c r="E7" i="20"/>
  <c r="F7" i="20"/>
  <c r="G12" i="20"/>
  <c r="C16" i="20"/>
  <c r="D16" i="20"/>
  <c r="E16" i="20"/>
  <c r="F16" i="20"/>
  <c r="H16" i="20"/>
  <c r="I16" i="20"/>
  <c r="J16" i="20"/>
  <c r="K16" i="20"/>
  <c r="L16" i="20"/>
  <c r="M16" i="20"/>
  <c r="B16" i="20"/>
  <c r="G10" i="20"/>
  <c r="P6" i="18"/>
  <c r="P4" i="18"/>
  <c r="G38" i="18"/>
  <c r="H38" i="18"/>
  <c r="I38" i="18"/>
  <c r="J38" i="18"/>
  <c r="K38" i="18"/>
  <c r="L38" i="18"/>
  <c r="M38" i="18"/>
  <c r="E38" i="18"/>
  <c r="F38" i="18"/>
  <c r="E23" i="21"/>
  <c r="C22" i="21"/>
  <c r="B22" i="21"/>
  <c r="H16" i="8"/>
  <c r="D25" i="21"/>
  <c r="E24" i="21"/>
  <c r="D24" i="21"/>
  <c r="E22" i="21"/>
  <c r="D22" i="21"/>
  <c r="D23" i="21"/>
  <c r="E21" i="21"/>
  <c r="D21" i="21"/>
  <c r="E20" i="21"/>
  <c r="D20" i="21"/>
  <c r="E19" i="21"/>
  <c r="D19" i="21"/>
  <c r="E18" i="21"/>
  <c r="D18" i="21"/>
  <c r="E17" i="21"/>
  <c r="D17" i="21"/>
  <c r="C21" i="21"/>
  <c r="B21" i="21"/>
  <c r="C23" i="21"/>
  <c r="C24" i="21" s="1"/>
  <c r="B23" i="21"/>
  <c r="B24" i="21" s="1"/>
  <c r="C20" i="21"/>
  <c r="B20" i="21"/>
  <c r="C19" i="21"/>
  <c r="B19" i="21"/>
  <c r="C18" i="21"/>
  <c r="B18" i="21"/>
  <c r="C17" i="21"/>
  <c r="B17" i="21"/>
  <c r="D16" i="21"/>
  <c r="B16" i="21"/>
  <c r="E14" i="21"/>
  <c r="C14" i="21"/>
  <c r="E13" i="21"/>
  <c r="C13" i="21"/>
  <c r="E12" i="21"/>
  <c r="C12" i="21"/>
  <c r="E11" i="21"/>
  <c r="C11" i="21"/>
  <c r="E10" i="21"/>
  <c r="C10" i="21"/>
  <c r="E9" i="21"/>
  <c r="C9" i="21"/>
  <c r="E8" i="21"/>
  <c r="C8" i="21"/>
  <c r="E7" i="21"/>
  <c r="C7" i="21"/>
  <c r="E6" i="21"/>
  <c r="C6" i="21"/>
  <c r="E5" i="21"/>
  <c r="C5" i="21"/>
  <c r="E4" i="21"/>
  <c r="C4" i="21"/>
  <c r="E3" i="21"/>
  <c r="C3" i="21"/>
  <c r="P5" i="18"/>
  <c r="P7" i="18"/>
  <c r="P8" i="18"/>
  <c r="C10" i="20"/>
  <c r="D10" i="20"/>
  <c r="E10" i="20"/>
  <c r="F10" i="20"/>
  <c r="H7" i="20"/>
  <c r="H10" i="20" s="1"/>
  <c r="I7" i="20"/>
  <c r="I10" i="20" s="1"/>
  <c r="J7" i="20"/>
  <c r="J10" i="20" s="1"/>
  <c r="K7" i="20"/>
  <c r="K10" i="20" s="1"/>
  <c r="L7" i="20"/>
  <c r="L10" i="20" s="1"/>
  <c r="B7" i="14"/>
  <c r="D38" i="18"/>
  <c r="C38" i="18"/>
  <c r="B38" i="18"/>
  <c r="M7" i="20"/>
  <c r="M10" i="20" s="1"/>
  <c r="J35" i="18"/>
  <c r="J42" i="18" s="1"/>
  <c r="G35" i="18"/>
  <c r="G42" i="18" s="1"/>
  <c r="E35" i="18"/>
  <c r="C35" i="18"/>
  <c r="B35" i="18"/>
  <c r="D35" i="18"/>
  <c r="F35" i="18"/>
  <c r="F42" i="18" s="1"/>
  <c r="H35" i="18"/>
  <c r="H42" i="18" s="1"/>
  <c r="I35" i="18"/>
  <c r="I42" i="18" s="1"/>
  <c r="M39" i="18"/>
  <c r="L39" i="18"/>
  <c r="J39" i="18"/>
  <c r="I39" i="18"/>
  <c r="H39" i="18"/>
  <c r="G39" i="18"/>
  <c r="F39" i="18"/>
  <c r="E39" i="18"/>
  <c r="D39" i="18"/>
  <c r="C39" i="18"/>
  <c r="B39" i="18"/>
  <c r="M37" i="18"/>
  <c r="L37" i="18"/>
  <c r="J37" i="18"/>
  <c r="I37" i="18"/>
  <c r="H37" i="18"/>
  <c r="G37" i="18"/>
  <c r="F37" i="18"/>
  <c r="E37" i="18"/>
  <c r="D37" i="18"/>
  <c r="C37" i="18"/>
  <c r="B37" i="18"/>
  <c r="M36" i="18"/>
  <c r="L36" i="18"/>
  <c r="J36" i="18"/>
  <c r="I36" i="18"/>
  <c r="H36" i="18"/>
  <c r="G36" i="18"/>
  <c r="F36" i="18"/>
  <c r="E36" i="18"/>
  <c r="D36" i="18"/>
  <c r="C36" i="18"/>
  <c r="B36" i="18"/>
  <c r="M35" i="18"/>
  <c r="M42" i="18" s="1"/>
  <c r="L35" i="18"/>
  <c r="L42" i="18" s="1"/>
  <c r="P16" i="18"/>
  <c r="P15" i="18"/>
  <c r="P14" i="18"/>
  <c r="P13" i="18"/>
  <c r="B37" i="2"/>
  <c r="D37" i="2"/>
  <c r="E37" i="2"/>
  <c r="F37" i="2"/>
  <c r="G37" i="2"/>
  <c r="H37" i="2"/>
  <c r="I37" i="2"/>
  <c r="J37" i="2"/>
  <c r="K37" i="2"/>
  <c r="L37" i="2"/>
  <c r="M37" i="2"/>
  <c r="C37" i="2"/>
  <c r="P5" i="2"/>
  <c r="P16" i="2"/>
  <c r="P15" i="2"/>
  <c r="P14" i="2"/>
  <c r="P13" i="2"/>
  <c r="P7" i="2"/>
  <c r="M35" i="2"/>
  <c r="M42" i="2" s="1"/>
  <c r="K35" i="2"/>
  <c r="K42" i="2" s="1"/>
  <c r="P4" i="2"/>
  <c r="K7" i="14"/>
  <c r="K10" i="14" s="1"/>
  <c r="L7" i="14"/>
  <c r="L10" i="14" s="1"/>
  <c r="M7" i="14"/>
  <c r="M10" i="14" s="1"/>
  <c r="P6" i="2"/>
  <c r="B36" i="2"/>
  <c r="C36" i="2"/>
  <c r="D36" i="2"/>
  <c r="E36" i="2"/>
  <c r="F36" i="2"/>
  <c r="G36" i="2"/>
  <c r="H36" i="2"/>
  <c r="J36" i="2"/>
  <c r="K36" i="2"/>
  <c r="L36" i="2"/>
  <c r="M36" i="2"/>
  <c r="I36" i="2"/>
  <c r="H35" i="2"/>
  <c r="H42" i="2" s="1"/>
  <c r="B39" i="2"/>
  <c r="C39" i="2"/>
  <c r="D39" i="2"/>
  <c r="B35" i="2"/>
  <c r="C35" i="2"/>
  <c r="D35" i="2"/>
  <c r="D42" i="2" s="1"/>
  <c r="E35" i="2"/>
  <c r="E42" i="2" s="1"/>
  <c r="F35" i="2"/>
  <c r="F42" i="2" s="1"/>
  <c r="G35" i="2"/>
  <c r="G42" i="2" s="1"/>
  <c r="I35" i="2"/>
  <c r="I42" i="2" s="1"/>
  <c r="J35" i="2"/>
  <c r="J42" i="2" s="1"/>
  <c r="L35" i="2"/>
  <c r="L42" i="2" s="1"/>
  <c r="C42" i="2"/>
  <c r="F39" i="2"/>
  <c r="G39" i="2"/>
  <c r="H39" i="2"/>
  <c r="I39" i="2"/>
  <c r="J39" i="2"/>
  <c r="K39" i="2"/>
  <c r="L39" i="2"/>
  <c r="M39" i="2"/>
  <c r="E39" i="2"/>
  <c r="J38" i="2"/>
  <c r="K38" i="2"/>
  <c r="L38" i="2"/>
  <c r="M38" i="2"/>
  <c r="I38" i="2"/>
  <c r="D7" i="14"/>
  <c r="D10" i="14" s="1"/>
  <c r="H15" i="14"/>
  <c r="I15" i="14"/>
  <c r="J15" i="14"/>
  <c r="K15" i="14"/>
  <c r="L15" i="14"/>
  <c r="M15" i="14"/>
  <c r="B15" i="14"/>
  <c r="C15" i="14"/>
  <c r="D15" i="14"/>
  <c r="E15" i="14"/>
  <c r="F15" i="14"/>
  <c r="H7" i="14"/>
  <c r="H10" i="14" s="1"/>
  <c r="I7" i="14"/>
  <c r="I10" i="14" s="1"/>
  <c r="J7" i="14"/>
  <c r="J10" i="14" s="1"/>
  <c r="B10" i="14"/>
  <c r="C7" i="14"/>
  <c r="C10" i="14" s="1"/>
  <c r="E7" i="14"/>
  <c r="E10" i="14" s="1"/>
  <c r="F7" i="14"/>
  <c r="F10" i="14" s="1"/>
  <c r="G15" i="14"/>
  <c r="G7" i="14"/>
  <c r="G10" i="14" s="1"/>
  <c r="B38" i="2"/>
  <c r="C38" i="2"/>
  <c r="E38" i="2"/>
  <c r="F38" i="2"/>
  <c r="G38" i="2"/>
  <c r="H38" i="2"/>
  <c r="D38" i="2"/>
  <c r="J18" i="8"/>
  <c r="J17" i="8"/>
  <c r="J20" i="8" s="1"/>
  <c r="J16" i="8"/>
  <c r="J19" i="8" s="1"/>
  <c r="K14" i="8"/>
  <c r="K13" i="8"/>
  <c r="K12" i="8"/>
  <c r="K11" i="8"/>
  <c r="K10" i="8"/>
  <c r="K9" i="8"/>
  <c r="K8" i="8"/>
  <c r="K7" i="8"/>
  <c r="K6" i="8"/>
  <c r="K5" i="8"/>
  <c r="K4" i="8"/>
  <c r="K3" i="8"/>
  <c r="H18" i="8"/>
  <c r="H17" i="8"/>
  <c r="H20" i="8" s="1"/>
  <c r="H19" i="8"/>
  <c r="I12" i="8"/>
  <c r="I13" i="8"/>
  <c r="I14" i="8"/>
  <c r="I4" i="8"/>
  <c r="I5" i="8"/>
  <c r="I6" i="8"/>
  <c r="I7" i="8"/>
  <c r="I8" i="8"/>
  <c r="I9" i="8"/>
  <c r="I10" i="8"/>
  <c r="I11" i="8"/>
  <c r="I3" i="8"/>
  <c r="F18" i="8"/>
  <c r="F17" i="8"/>
  <c r="F20" i="8" s="1"/>
  <c r="F16" i="8"/>
  <c r="G14" i="8"/>
  <c r="G13" i="8"/>
  <c r="G12" i="8"/>
  <c r="G18" i="8" s="1"/>
  <c r="G11" i="8"/>
  <c r="G10" i="8"/>
  <c r="G9" i="8"/>
  <c r="G8" i="8"/>
  <c r="G7" i="8"/>
  <c r="G6" i="8"/>
  <c r="G5" i="8"/>
  <c r="G4" i="8"/>
  <c r="G3" i="8"/>
  <c r="D17" i="8"/>
  <c r="D18" i="8"/>
  <c r="D16" i="8"/>
  <c r="B16" i="8"/>
  <c r="B18" i="8"/>
  <c r="B17" i="8"/>
  <c r="B20" i="8" s="1"/>
  <c r="E4" i="8"/>
  <c r="E5" i="8"/>
  <c r="E6" i="8"/>
  <c r="E7" i="8"/>
  <c r="E8" i="8"/>
  <c r="E9" i="8"/>
  <c r="E10" i="8"/>
  <c r="E11" i="8"/>
  <c r="E12" i="8"/>
  <c r="E13" i="8"/>
  <c r="E14" i="8"/>
  <c r="E3" i="8"/>
  <c r="E16" i="8" s="1"/>
  <c r="C4" i="8"/>
  <c r="C5" i="8"/>
  <c r="C6" i="8"/>
  <c r="C7" i="8"/>
  <c r="C8" i="8"/>
  <c r="C9" i="8"/>
  <c r="C10" i="8"/>
  <c r="C11" i="8"/>
  <c r="C12" i="8"/>
  <c r="C13" i="8"/>
  <c r="C14" i="8"/>
  <c r="C3" i="8"/>
  <c r="K40" i="18" l="1"/>
  <c r="G16" i="20"/>
  <c r="G23" i="20" s="1"/>
  <c r="D20" i="8"/>
  <c r="I18" i="8"/>
  <c r="E18" i="8"/>
  <c r="J22" i="8"/>
  <c r="H22" i="8"/>
  <c r="F19" i="8"/>
  <c r="D22" i="8"/>
  <c r="D19" i="8"/>
  <c r="F22" i="8"/>
  <c r="E16" i="21"/>
  <c r="C16" i="21"/>
  <c r="P9" i="18"/>
  <c r="I23" i="20"/>
  <c r="H23" i="20"/>
  <c r="M23" i="20"/>
  <c r="B23" i="20"/>
  <c r="E23" i="20"/>
  <c r="L23" i="20"/>
  <c r="J23" i="20"/>
  <c r="K23" i="20"/>
  <c r="D23" i="20"/>
  <c r="C23" i="20"/>
  <c r="F23" i="20"/>
  <c r="D40" i="18"/>
  <c r="C40" i="18"/>
  <c r="B40" i="18"/>
  <c r="E40" i="18"/>
  <c r="F40" i="18"/>
  <c r="B42" i="18"/>
  <c r="G40" i="18"/>
  <c r="C42" i="18"/>
  <c r="H40" i="18"/>
  <c r="D42" i="18"/>
  <c r="I40" i="18"/>
  <c r="E42" i="18"/>
  <c r="J40" i="18"/>
  <c r="L40" i="18"/>
  <c r="M40" i="18"/>
  <c r="P8" i="2"/>
  <c r="E17" i="8"/>
  <c r="K18" i="8"/>
  <c r="K16" i="8"/>
  <c r="K19" i="8" s="1"/>
  <c r="K17" i="8"/>
  <c r="D40" i="2"/>
  <c r="H40" i="2"/>
  <c r="B42" i="2"/>
  <c r="M40" i="2"/>
  <c r="I40" i="2"/>
  <c r="I21" i="14"/>
  <c r="C21" i="14"/>
  <c r="L21" i="14"/>
  <c r="K21" i="14"/>
  <c r="J21" i="14"/>
  <c r="G21" i="14"/>
  <c r="M21" i="14"/>
  <c r="F21" i="14"/>
  <c r="E21" i="14"/>
  <c r="D21" i="14"/>
  <c r="H21" i="14"/>
  <c r="B21" i="14"/>
  <c r="K40" i="2"/>
  <c r="L40" i="2"/>
  <c r="G40" i="2"/>
  <c r="F40" i="2"/>
  <c r="J40" i="2"/>
  <c r="E40" i="2"/>
  <c r="C40" i="2"/>
  <c r="I16" i="8"/>
  <c r="I19" i="8" s="1"/>
  <c r="I17" i="8"/>
  <c r="G17" i="8"/>
  <c r="G20" i="8" s="1"/>
  <c r="G16" i="8"/>
  <c r="G19" i="8" s="1"/>
  <c r="C16" i="8"/>
  <c r="E19" i="8" s="1"/>
  <c r="C17" i="8"/>
  <c r="C18" i="8"/>
  <c r="E20" i="8" l="1"/>
  <c r="I20" i="8"/>
  <c r="B41" i="18"/>
  <c r="E41" i="18"/>
  <c r="H41" i="18"/>
  <c r="K41" i="18"/>
  <c r="K20" i="8"/>
  <c r="E41" i="2"/>
  <c r="H41" i="2"/>
  <c r="K41" i="2"/>
  <c r="B40" i="2"/>
  <c r="B41" i="2" s="1"/>
  <c r="G22" i="8"/>
  <c r="G21" i="8"/>
  <c r="F21" i="8" s="1"/>
  <c r="C20" i="8"/>
  <c r="E22" i="8" l="1"/>
  <c r="E21" i="8"/>
  <c r="D21" i="8" s="1"/>
  <c r="I21" i="8"/>
  <c r="H21" i="8" s="1"/>
  <c r="I22" i="8"/>
  <c r="K22" i="8"/>
  <c r="K21" i="8"/>
  <c r="J21" i="8" s="1"/>
  <c r="C22" i="8"/>
  <c r="C21" i="8"/>
  <c r="B2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tc={2CE7B87A-37A6-462A-90D2-35E528B57AF3}</author>
    <author>tc={78F7A8CB-1BC7-49E6-915A-A797917D2643}</author>
    <author>tc={D192DC18-90FA-4576-8B08-282EC7FABF0A}</author>
    <author>tc={92BC53FA-FD31-4860-A5FC-6D03683F8774}</author>
    <author>tc={8574932E-EA38-4138-B6DC-1DE87951CABB}</author>
    <author>tc={D2E79C99-EF36-4FF1-AB23-8B8DFE777AB8}</author>
  </authors>
  <commentList>
    <comment ref="E15" authorId="0" shapeId="0" xr:uid="{2CE7B87A-37A6-462A-90D2-35E528B57AF3}">
      <text>
        <t>[Threaded comment]
Your version of Excel allows you to read this threaded comment; however, any edits to it will get removed if the file is opened in a newer version of Excel. Learn more: https://go.microsoft.com/fwlink/?linkid=870924
Comment:
    TCS Welfare Trust</t>
      </text>
    </comment>
    <comment ref="G15" authorId="1" shapeId="0" xr:uid="{78F7A8CB-1BC7-49E6-915A-A797917D2643}">
      <text>
        <t>[Threaded comment]
Your version of Excel allows you to read this threaded comment; however, any edits to it will get removed if the file is opened in a newer version of Excel. Learn more: https://go.microsoft.com/fwlink/?linkid=870924
Comment:
    Arrears deduction of below section:
1. House Rent Allowance - 5856
2. Leave Travel Allowance - 2800
3. Internet Allowance - 820
4. Provident Fund - 144</t>
      </text>
    </comment>
    <comment ref="B21" authorId="2" shapeId="0" xr:uid="{D192DC18-90FA-4576-8B08-282EC7FABF0A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Bonus</t>
      </text>
    </comment>
    <comment ref="D21" authorId="3" shapeId="0" xr:uid="{92BC53FA-FD31-4860-A5FC-6D03683F8774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Encashment</t>
      </text>
    </comment>
    <comment ref="E21" authorId="4" shapeId="0" xr:uid="{8574932E-EA38-4138-B6DC-1DE87951CABB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Bonus</t>
      </text>
    </comment>
    <comment ref="G21" authorId="5" shapeId="0" xr:uid="{D2E79C99-EF36-4FF1-AB23-8B8DFE777AB8}">
      <text>
        <t>[Threaded comment]
Your version of Excel allows you to read this threaded comment; however, any edits to it will get removed if the file is opened in a newer version of Excel. Learn more: https://go.microsoft.com/fwlink/?linkid=870924
Comment:
    Arrears addition of below sections
1. Basic Salary - 1200
2. Personal Allowance - 2142
3. Conveyance Allowance - 10944
4. Performance pay - 600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tc={A0C1C2EF-0555-4B63-8414-B842DC67A133}</author>
    <author>tc={98542BE4-EB69-4153-ABE8-6AD57E6F7534}</author>
    <author>tc={B60F93F4-D1D4-49BB-B07A-8ADC15516FB6}</author>
    <author>tc={FBFE6E67-994E-49B3-B39B-12FEF12A713C}</author>
  </authors>
  <commentList>
    <comment ref="K4" authorId="0" shapeId="0" xr:uid="{A0C1C2EF-0555-4B63-8414-B842DC67A133}">
      <text>
        <t>[Threaded comment]
Your version of Excel allows you to read this threaded comment; however, any edits to it will get removed if the file is opened in a newer version of Excel. Learn more: https://go.microsoft.com/fwlink/?linkid=870924
Comment:
    Flexi</t>
      </text>
    </comment>
    <comment ref="H17" authorId="1" shapeId="0" xr:uid="{98542BE4-EB69-4153-ABE8-6AD57E6F753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Infta</t>
      </text>
    </comment>
    <comment ref="G30" authorId="2" shapeId="0" xr:uid="{B60F93F4-D1D4-49BB-B07A-8ADC15516FB6}">
      <text>
        <t>[Threaded comment]
Your version of Excel allows you to read this threaded comment; however, any edits to it will get removed if the file is opened in a newer version of Excel. Learn more: https://go.microsoft.com/fwlink/?linkid=870924
Comment:
    Sick</t>
      </text>
    </comment>
    <comment ref="J33" authorId="3" shapeId="0" xr:uid="{FBFE6E67-994E-49B3-B39B-12FEF12A713C}">
      <text>
        <t>[Threaded comment]
Your version of Excel allows you to read this threaded comment; however, any edits to it will get removed if the file is opened in a newer version of Excel. Learn more: https://go.microsoft.com/fwlink/?linkid=870924
Comment:
    Flexi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tc={41193F09-8069-40DA-8855-2DCEF5EAF06B}</author>
    <author>tc={FB387E50-EB56-472E-9FEC-5E72C88D9B0D}</author>
    <author>tc={8A080D58-D785-474C-91EF-DF57B94441C7}</author>
    <author>tc={6C71375D-810F-4785-AC53-68A2C0536732}</author>
    <author>tc={778BF911-B5B9-41B5-97DD-C7A1F88DA98F}</author>
    <author>tc={0FE86D18-106C-4A9A-9D2C-DB41AA83C0FD}</author>
    <author>tc={B370746D-C7E1-4BF8-8372-AA66005A9D0D}</author>
    <author>tc={7A91ACD3-FB21-4CC8-8D06-483F5A60A31C}</author>
  </authors>
  <commentList>
    <comment ref="E14" authorId="0" shapeId="0" xr:uid="{41193F09-8069-40DA-8855-2DCEF5EA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TCS Welfare Trust</t>
      </text>
    </comment>
    <comment ref="F14" authorId="1" shapeId="0" xr:uid="{FB387E50-EB56-472E-9FEC-5E72C88D9B0D}">
      <text>
        <t>[Threaded comment]
Your version of Excel allows you to read this threaded comment; however, any edits to it will get removed if the file is opened in a newer version of Excel. Learn more: https://go.microsoft.com/fwlink/?linkid=870924
Comment:
    Health Insurance Scheme Premium</t>
      </text>
    </comment>
    <comment ref="G14" authorId="2" shapeId="0" xr:uid="{8A080D58-D785-474C-91EF-DF57B94441C7}">
      <text>
        <t>[Threaded comment]
Your version of Excel allows you to read this threaded comment; however, any edits to it will get removed if the file is opened in a newer version of Excel. Learn more: https://go.microsoft.com/fwlink/?linkid=870924
Comment:
    Health Insurance Scheme Premium</t>
      </text>
    </comment>
    <comment ref="B19" authorId="3" shapeId="0" xr:uid="{6C71375D-810F-4785-AC53-68A2C0536732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Bonus</t>
      </text>
    </comment>
    <comment ref="C19" authorId="4" shapeId="0" xr:uid="{778BF911-B5B9-41B5-97DD-C7A1F88DA98F}">
      <text>
        <t>[Threaded comment]
Your version of Excel allows you to read this threaded comment; however, any edits to it will get removed if the file is opened in a newer version of Excel. Learn more: https://go.microsoft.com/fwlink/?linkid=870924
Comment:
    National Holiday Payout</t>
      </text>
    </comment>
    <comment ref="D19" authorId="5" shapeId="0" xr:uid="{0FE86D18-106C-4A9A-9D2C-DB41AA8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Leave Encashment</t>
      </text>
    </comment>
    <comment ref="H19" authorId="6" shapeId="0" xr:uid="{B370746D-C7E1-4BF8-8372-AA66005A9D0D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Bonus</t>
      </text>
    </comment>
    <comment ref="K19" authorId="7" shapeId="0" xr:uid="{7A91ACD3-FB21-4CC8-8D06-483F5A60A31C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Performance Bonus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tc={A8AD6839-3A37-4B63-9414-9F760ABB97F7}</author>
    <author>tc={60204F08-0DD7-4D4A-B193-CD76506C6BB1}</author>
    <author>tc={05C2AF9A-272E-401E-9732-B9A5897B6B70}</author>
    <author>tc={2549E33A-2E35-4E97-BDC3-8A27E80A6C36}</author>
    <author>tc={0977A0D4-17EA-45E7-9C71-CA1328F7B5D4}</author>
  </authors>
  <commentList>
    <comment ref="J21" authorId="0" shapeId="0" xr:uid="{A8AD6839-3A37-4B63-9414-9F760ABB97F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Without Night Shift</t>
      </text>
    </comment>
    <comment ref="D22" authorId="1" shapeId="0" xr:uid="{60204F08-0DD7-4D4A-B193-CD76506C6BB1}">
      <text>
        <t>[Threaded comment]
Your version of Excel allows you to read this threaded comment; however, any edits to it will get removed if the file is opened in a newer version of Excel. Learn more: https://go.microsoft.com/fwlink/?linkid=870924
Comment:
    Hike 2023</t>
      </text>
    </comment>
    <comment ref="F22" authorId="2" shapeId="0" xr:uid="{05C2AF9A-272E-401E-9732-B9A5897B6B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years anniversary </t>
      </text>
    </comment>
    <comment ref="H22" authorId="3" shapeId="0" xr:uid="{2549E33A-2E35-4E97-BDC3-8A27E80A6C36}">
      <text>
        <t>[Threaded comment]
Your version of Excel allows you to read this threaded comment; however, any edits to it will get removed if the file is opened in a newer version of Excel. Learn more: https://go.microsoft.com/fwlink/?linkid=870924
Comment:
    Hike 2024</t>
      </text>
    </comment>
    <comment ref="J22" authorId="4" shapeId="0" xr:uid="{0977A0D4-17EA-45E7-9C71-CA1328F7B5D4}">
      <text>
        <t>[Threaded comment]
Your version of Excel allows you to read this threaded comment; however, any edits to it will get removed if the file is opened in a newer version of Excel. Learn more: https://go.microsoft.com/fwlink/?linkid=870924
Comment:
    Hike 2025</t>
      </text>
    </comment>
  </commentList>
</comments>
</file>

<file path=xl/sharedStrings.xml><?xml version="1.0" encoding="utf-8"?>
<sst xmlns="http://schemas.openxmlformats.org/spreadsheetml/2006/main" count="1014" uniqueCount="148">
  <si>
    <t>SSO ID</t>
  </si>
  <si>
    <t>Password</t>
  </si>
  <si>
    <t>Abhishek@25biswas</t>
  </si>
  <si>
    <t>Email</t>
  </si>
  <si>
    <t>Abhishek.Biswas@gehealthcare.com</t>
  </si>
  <si>
    <t>Name</t>
  </si>
  <si>
    <t>Username</t>
  </si>
  <si>
    <t>Netlify</t>
  </si>
  <si>
    <t>abhishekartist5@gmail.com</t>
  </si>
  <si>
    <t>Netlify@2022</t>
  </si>
  <si>
    <t>Domain</t>
  </si>
  <si>
    <t>Ultimatix</t>
  </si>
  <si>
    <t>MaaKali@2025</t>
  </si>
  <si>
    <t>Ilovecoding@2025</t>
  </si>
  <si>
    <t>Home@251998</t>
  </si>
  <si>
    <t>House@251998</t>
  </si>
  <si>
    <t>Abhi@25biswas</t>
  </si>
  <si>
    <t>Sunshine@2508</t>
  </si>
  <si>
    <t>MaaKali@25-08</t>
  </si>
  <si>
    <t>Start date</t>
  </si>
  <si>
    <t>End Date</t>
  </si>
  <si>
    <t>YG</t>
  </si>
  <si>
    <t>Y1G</t>
  </si>
  <si>
    <t>C1</t>
  </si>
  <si>
    <t>Year</t>
  </si>
  <si>
    <t>Leave counter</t>
  </si>
  <si>
    <t>QUARTER</t>
  </si>
  <si>
    <t>Q1</t>
  </si>
  <si>
    <t>Q2</t>
  </si>
  <si>
    <t>Q3</t>
  </si>
  <si>
    <t>Q4</t>
  </si>
  <si>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</si>
  <si>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</si>
  <si>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</si>
  <si>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</si>
  <si>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</si>
  <si>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</si>
  <si>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</si>
  <si>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</si>
  <si>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</si>
  <si>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</si>
  <si>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</si>
  <si>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Novemer</t>
  </si>
  <si>
    <t>December</t>
  </si>
  <si>
    <t>Type</t>
  </si>
  <si>
    <t>Count</t>
  </si>
  <si>
    <t>EXCEPTION</t>
  </si>
  <si>
    <t>WEEKEND</t>
  </si>
  <si>
    <t>WFH</t>
  </si>
  <si>
    <t>WFO</t>
  </si>
  <si>
    <t>LEAVE</t>
  </si>
  <si>
    <t>Sick</t>
  </si>
  <si>
    <t>HOLIDAY</t>
  </si>
  <si>
    <t>Casual</t>
  </si>
  <si>
    <t>Earned</t>
  </si>
  <si>
    <t>Flexi</t>
  </si>
  <si>
    <t>NA</t>
  </si>
  <si>
    <t>TOTAL WORKING DAYS</t>
  </si>
  <si>
    <t>RTO</t>
  </si>
  <si>
    <t>AVERAGE RTO per QUARTER</t>
  </si>
  <si>
    <t>Work From Home allowed</t>
  </si>
  <si>
    <t>Earnings</t>
  </si>
  <si>
    <t>November</t>
  </si>
  <si>
    <t>Basic Salary</t>
  </si>
  <si>
    <t>House Rent Allowance</t>
  </si>
  <si>
    <t>Leave Travel Allowance</t>
  </si>
  <si>
    <t>Personal Allowance</t>
  </si>
  <si>
    <t>Misc</t>
  </si>
  <si>
    <t>City Allowance</t>
  </si>
  <si>
    <t>Performance Pay</t>
  </si>
  <si>
    <t>Total Earnings</t>
  </si>
  <si>
    <t>Deductions</t>
  </si>
  <si>
    <t>Provident Fund</t>
  </si>
  <si>
    <t>Labour Welfare</t>
  </si>
  <si>
    <t>Other Deductions</t>
  </si>
  <si>
    <t>Total Deductions</t>
  </si>
  <si>
    <t>Communication Card Adjustment</t>
  </si>
  <si>
    <t>Food Card Adjustment</t>
  </si>
  <si>
    <t>Other Misc</t>
  </si>
  <si>
    <t>Total Salary</t>
  </si>
  <si>
    <t>FA 2022</t>
  </si>
  <si>
    <t>Appraisal 2023</t>
  </si>
  <si>
    <t>October FA</t>
  </si>
  <si>
    <t>Appraisal 2024</t>
  </si>
  <si>
    <t>Appraisal 2025</t>
  </si>
  <si>
    <t>Component Category</t>
  </si>
  <si>
    <t>Annual 2022</t>
  </si>
  <si>
    <t>Monthly 2022</t>
  </si>
  <si>
    <t>Annual 2023</t>
  </si>
  <si>
    <t>Monthly 2023</t>
  </si>
  <si>
    <t>Annual 2024</t>
  </si>
  <si>
    <t>Monthly 2024</t>
  </si>
  <si>
    <t>Annual 2025</t>
  </si>
  <si>
    <t>Monthly 2025</t>
  </si>
  <si>
    <t>Monthly Performance Pay</t>
  </si>
  <si>
    <t>Performance Bonus</t>
  </si>
  <si>
    <t>HRA</t>
  </si>
  <si>
    <t>LTA</t>
  </si>
  <si>
    <t>Food Card</t>
  </si>
  <si>
    <t>Communication Allowance</t>
  </si>
  <si>
    <t>Personal allowance</t>
  </si>
  <si>
    <t>PF</t>
  </si>
  <si>
    <t>Gratuity</t>
  </si>
  <si>
    <t>Health Insurance</t>
  </si>
  <si>
    <t>CTC</t>
  </si>
  <si>
    <t>Total Income</t>
  </si>
  <si>
    <t>Total Deduction</t>
  </si>
  <si>
    <t>Increased Amount</t>
  </si>
  <si>
    <t>In Hand</t>
  </si>
  <si>
    <t>In Hand with Night Allowance(approx.)</t>
  </si>
  <si>
    <t>In Hand %</t>
  </si>
  <si>
    <t>jVS,P5O1yXuqGdE</t>
  </si>
  <si>
    <t>Quarterly Exception</t>
  </si>
  <si>
    <t>PERSONAL EXCP.</t>
  </si>
  <si>
    <t>Appraisal 2026</t>
  </si>
  <si>
    <t>Annual 2026</t>
  </si>
  <si>
    <t>Monthly 2026</t>
  </si>
  <si>
    <t>Ilovecoding@2026</t>
  </si>
  <si>
    <t>Ilovecoding@2026abhi</t>
  </si>
  <si>
    <t>google partner</t>
  </si>
  <si>
    <t>abhishek.biswas2@tcs.com</t>
  </si>
  <si>
    <t>Abhishek@google.2026biswas</t>
  </si>
  <si>
    <t>Grade</t>
  </si>
  <si>
    <t>Prisma Browser</t>
  </si>
  <si>
    <t>Fixed Salary</t>
  </si>
  <si>
    <t>Total Income (Quarterly)</t>
  </si>
  <si>
    <t>Variable</t>
  </si>
  <si>
    <t>Hike</t>
  </si>
  <si>
    <t>MaaKali@25-1998</t>
  </si>
  <si>
    <t xml:space="preserve">Conveyance Allownce </t>
  </si>
  <si>
    <t>House@25-081998</t>
  </si>
  <si>
    <t>Email ids</t>
  </si>
  <si>
    <t>murtaza.ali@tcs.com</t>
  </si>
  <si>
    <t>s.saraswati4@tcs.com</t>
  </si>
  <si>
    <t>simran.ruhela@tcs.com</t>
  </si>
  <si>
    <t>vaishnav.bhardwaj@tcs.com</t>
  </si>
  <si>
    <t>vivek.kgupta3@tcs.com</t>
  </si>
  <si>
    <t>s.akash19@tcs.com</t>
  </si>
  <si>
    <t>sonu.kumar19@tcs.com</t>
  </si>
  <si>
    <t>ankit.mavi@tcs.com</t>
  </si>
  <si>
    <t>jyot.18@tcs.com</t>
  </si>
  <si>
    <t>ritwij.1@tcs.com</t>
  </si>
  <si>
    <t>bajpai.yash@tcs.com</t>
  </si>
  <si>
    <t>ritesh.ksharma@tcs.com</t>
  </si>
  <si>
    <t>saini.varun@tcs.com</t>
  </si>
  <si>
    <t>twinkle.panda@tcs.com</t>
  </si>
  <si>
    <t>nirjharini.parida@tcs.com</t>
  </si>
  <si>
    <t>sabin.dcruz@tcs.com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</si>
</sst>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mmm\-yy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43D3D"/>
        <bgColor indexed="64"/>
      </patternFill>
    </fill>
    <fill>
      <patternFill patternType="solid">
        <fgColor rgb="FF42962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EB5EB"/>
        <bgColor indexed="64"/>
      </patternFill>
    </fill>
    <fill>
      <patternFill patternType="solid">
        <fgColor rgb="FFC216E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45ED"/>
        <bgColor indexed="64"/>
      </patternFill>
    </fill>
    <fill>
      <patternFill patternType="solid">
        <fgColor rgb="FFE17AF2"/>
        <bgColor indexed="64"/>
      </patternFill>
    </fill>
    <fill>
      <patternFill patternType="solid">
        <fgColor rgb="FFEDAF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FBB1"/>
        <bgColor indexed="64"/>
      </patternFill>
    </fill>
    <fill>
      <patternFill patternType="solid">
        <fgColor rgb="FF0AD44D"/>
        <bgColor indexed="64"/>
      </patternFill>
    </fill>
    <fill>
      <patternFill patternType="solid">
        <fgColor rgb="FF7030A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2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0" borderId="2" xfId="0" applyBorder="1"/>
    <xf numFmtId="0" fontId="0" fillId="0" borderId="0" xfId="0" applyAlignment="1">
      <alignment horizontal="left"/>
    </xf>
    <xf numFmtId="0" fontId="4" fillId="0" borderId="0" xfId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/>
    </xf>
    <xf numFmtId="0" fontId="0" fillId="12" borderId="3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6" fillId="0" borderId="0" xfId="0" applyFont="1"/>
    <xf numFmtId="17" fontId="0" fillId="0" borderId="0" xfId="0" applyNumberFormat="1"/>
    <xf numFmtId="164" fontId="0" fillId="4" borderId="5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13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0" fillId="0" borderId="0" xfId="0" applyNumberFormat="1"/>
    <xf numFmtId="164" fontId="0" fillId="5" borderId="0" xfId="0" applyNumberFormat="1" applyFill="1"/>
    <xf numFmtId="164" fontId="2" fillId="5" borderId="0" xfId="0" applyNumberFormat="1" applyFont="1" applyFill="1"/>
    <xf numFmtId="0" fontId="0" fillId="14" borderId="0" xfId="0" applyFill="1"/>
    <xf numFmtId="0" fontId="0" fillId="15" borderId="0" xfId="0" applyFill="1"/>
    <xf numFmtId="0" fontId="0" fillId="10" borderId="0" xfId="0" applyFill="1"/>
    <xf numFmtId="0" fontId="0" fillId="16" borderId="0" xfId="0" applyFill="1"/>
    <xf numFmtId="0" fontId="0" fillId="8" borderId="0" xfId="0" applyFill="1"/>
    <xf numFmtId="0" fontId="0" fillId="17" borderId="0" xfId="0" applyFill="1"/>
    <xf numFmtId="0" fontId="0" fillId="5" borderId="0" xfId="0" applyFill="1"/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0" fillId="20" borderId="18" xfId="0" applyFill="1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64" fontId="0" fillId="21" borderId="0" xfId="0" applyNumberFormat="1" applyFill="1"/>
    <xf numFmtId="0" fontId="3" fillId="5" borderId="3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9" fontId="0" fillId="0" borderId="20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11" borderId="4" xfId="0" applyFill="1" applyBorder="1" applyAlignment="1">
      <alignment horizontal="center"/>
    </xf>
    <xf numFmtId="164" fontId="0" fillId="11" borderId="12" xfId="0" applyNumberFormat="1" applyFill="1" applyBorder="1" applyAlignment="1">
      <alignment horizontal="center"/>
    </xf>
    <xf numFmtId="164" fontId="0" fillId="11" borderId="4" xfId="0" applyNumberFormat="1" applyFill="1" applyBorder="1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3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/>
    </xf>
    <xf numFmtId="164" fontId="0" fillId="22" borderId="1" xfId="0" applyNumberFormat="1" applyFill="1" applyBorder="1" applyAlignment="1">
      <alignment horizontal="center" vertical="center"/>
    </xf>
    <xf numFmtId="164" fontId="0" fillId="23" borderId="1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64" fontId="0" fillId="3" borderId="41" xfId="0" applyNumberFormat="1" applyFill="1" applyBorder="1" applyAlignment="1">
      <alignment horizontal="center"/>
    </xf>
    <xf numFmtId="164" fontId="0" fillId="3" borderId="42" xfId="0" applyNumberFormat="1" applyFill="1" applyBorder="1" applyAlignment="1">
      <alignment horizontal="center"/>
    </xf>
    <xf numFmtId="10" fontId="0" fillId="0" borderId="0" xfId="2" applyNumberFormat="1" applyFont="1"/>
    <xf numFmtId="9" fontId="0" fillId="3" borderId="14" xfId="2" applyFont="1" applyFill="1" applyBorder="1" applyAlignment="1">
      <alignment horizontal="center"/>
    </xf>
    <xf numFmtId="10" fontId="0" fillId="3" borderId="14" xfId="2" applyNumberFormat="1" applyFont="1" applyFill="1" applyBorder="1" applyAlignment="1">
      <alignment horizontal="center"/>
    </xf>
    <xf numFmtId="0" fontId="10" fillId="24" borderId="17" xfId="0" applyFont="1" applyFill="1" applyBorder="1" applyAlignment="1">
      <alignment horizontal="center"/>
    </xf>
    <xf numFmtId="0" fontId="10" fillId="24" borderId="18" xfId="0" applyFont="1" applyFill="1" applyBorder="1" applyAlignment="1">
      <alignment horizontal="center"/>
    </xf>
    <xf numFmtId="0" fontId="10" fillId="24" borderId="19" xfId="0" applyFont="1" applyFill="1" applyBorder="1" applyAlignment="1">
      <alignment horizontal="center"/>
    </xf>
    <xf numFmtId="0" fontId="0" fillId="15" borderId="0" xfId="0" applyFill="1" applyAlignment="1">
      <alignment wrapText="1"/>
    </xf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/>
    </xf>
    <xf numFmtId="10" fontId="0" fillId="0" borderId="34" xfId="0" applyNumberFormat="1" applyBorder="1" applyAlignment="1">
      <alignment horizontal="center"/>
    </xf>
    <xf numFmtId="10" fontId="0" fillId="0" borderId="35" xfId="0" applyNumberFormat="1" applyBorder="1" applyAlignment="1">
      <alignment horizontal="center"/>
    </xf>
    <xf numFmtId="10" fontId="0" fillId="0" borderId="36" xfId="0" applyNumberForma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34" xfId="0" applyNumberFormat="1" applyBorder="1" applyAlignment="1">
      <alignment horizontal="center"/>
    </xf>
    <xf numFmtId="9" fontId="0" fillId="0" borderId="35" xfId="0" applyNumberFormat="1" applyBorder="1" applyAlignment="1">
      <alignment horizontal="center"/>
    </xf>
    <xf numFmtId="9" fontId="0" fillId="0" borderId="36" xfId="0" applyNumberFormat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3">
    <cellStyle name="Hyperlink" xfId="1" builtinId="8"/>
    <cellStyle name="Normal" xfId="0" builtinId="0"/>
    <cellStyle name="Percent" xfId="2" builtinId="5"/>
  </cellStyles>
  <dxfs count="120">
    <dxf>
      <fill>
        <patternFill>
          <bgColor theme="4" tint="0.59996337778862885"/>
        </patternFill>
      </fill>
    </dxf>
    <dxf>
      <font>
        <b/>
        <i val="0"/>
        <u/>
        <color rgb="FF9C0006"/>
      </font>
    </dxf>
    <dxf>
      <font>
        <color theme="0"/>
      </font>
      <fill>
        <patternFill patternType="solid">
          <bgColor rgb="FF69330E"/>
        </patternFill>
      </fill>
    </dxf>
    <dxf>
      <font>
        <color rgb="FFFFFF00"/>
      </font>
      <fill>
        <patternFill patternType="solid">
          <bgColor rgb="FF0505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b/>
        <i val="0"/>
        <u/>
        <color theme="7" tint="-0.249977111117893"/>
      </font>
    </dxf>
    <dxf>
      <font>
        <b/>
        <i val="0"/>
        <u/>
        <color rgb="FF9C0006"/>
      </font>
    </dxf>
    <dxf>
      <font>
        <color theme="0"/>
      </font>
      <fill>
        <patternFill patternType="solid">
          <bgColor rgb="FF69330E"/>
        </patternFill>
      </fill>
    </dxf>
    <dxf>
      <font>
        <color rgb="FFFFFF00"/>
      </font>
      <fill>
        <patternFill patternType="solid">
          <bgColor rgb="FF0505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b/>
        <i val="0"/>
        <u/>
        <color theme="7" tint="-0.249977111117893"/>
      </font>
    </dxf>
    <dxf>
      <font>
        <b/>
        <i val="0"/>
        <u/>
        <color rgb="FFFF0000"/>
      </font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</dxf>
    <dxf>
      <font>
        <b/>
        <i val="0"/>
      </font>
    </dxf>
    <dxf>
      <fill>
        <patternFill>
          <bgColor theme="8" tint="0.59996337778862885"/>
        </patternFill>
      </fill>
    </dxf>
    <dxf>
      <font>
        <b/>
        <i val="0"/>
        <u/>
        <color rgb="FF9C0006"/>
      </font>
    </dxf>
    <dxf>
      <font>
        <color theme="0"/>
      </font>
      <fill>
        <patternFill patternType="solid">
          <bgColor rgb="FF69330E"/>
        </patternFill>
      </fill>
    </dxf>
    <dxf>
      <font>
        <color rgb="FFFFFF00"/>
      </font>
      <fill>
        <patternFill patternType="solid">
          <bgColor rgb="FF0505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b/>
        <i val="0"/>
        <u/>
        <color theme="7" tint="-0.249977111117893"/>
      </font>
    </dxf>
    <dxf>
      <font>
        <b/>
        <i val="0"/>
        <u/>
        <color rgb="FFFF0000"/>
      </font>
      <fill>
        <patternFill>
          <bgColor theme="0"/>
        </patternFill>
      </fill>
    </dxf>
    <dxf>
      <font>
        <b/>
        <i val="0"/>
        <u/>
        <color rgb="FF9C0006"/>
      </font>
    </dxf>
    <dxf>
      <font>
        <color theme="0"/>
      </font>
      <fill>
        <patternFill patternType="solid">
          <bgColor rgb="FF69330E"/>
        </patternFill>
      </fill>
    </dxf>
    <dxf>
      <font>
        <color rgb="FFFFFF00"/>
      </font>
      <fill>
        <patternFill patternType="solid">
          <bgColor rgb="FF0505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b/>
        <i val="0"/>
        <u/>
        <color theme="7" tint="-0.249977111117893"/>
      </font>
    </dxf>
    <dxf>
      <font>
        <b/>
        <i val="0"/>
        <u/>
        <color rgb="FF9C0006"/>
      </font>
    </dxf>
    <dxf>
      <font>
        <color theme="0"/>
      </font>
      <fill>
        <patternFill patternType="solid">
          <bgColor rgb="FF69330E"/>
        </patternFill>
      </fill>
    </dxf>
    <dxf>
      <font>
        <color rgb="FFFFFF00"/>
      </font>
      <fill>
        <patternFill patternType="solid">
          <bgColor rgb="FF05050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/>
        </patternFill>
      </fill>
    </dxf>
    <dxf>
      <font>
        <b/>
        <i val="0"/>
        <u/>
        <color theme="7" tint="-0.249977111117893"/>
      </font>
    </dxf>
    <dxf>
      <font>
        <b/>
        <i val="0"/>
        <u/>
        <color rgb="FFFF0000"/>
      </font>
      <fill>
        <patternFill>
          <bgColor theme="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1"/>
        </patternFill>
      </fill>
    </dxf>
    <dxf>
      <alignment horizontal="center"/>
    </dxf>
    <dxf>
      <numFmt numFmtId="165" formatCode="mmm\-yy"/>
    </dxf>
    <dxf>
      <numFmt numFmtId="165" formatCode="mmm\-yy"/>
    </dxf>
  </dxfs>
  <tableStyles count="0" defaultTableStyle="TableStyleMedium2" defaultPivotStyle="PivotStyleMedium9"/>
  <colors>
    <mruColors>
      <color rgb="FFFFFFFF"/>
      <color rgb="FFE17AF2"/>
      <color rgb="FF0AD44D"/>
      <color rgb="FFA5FBB1"/>
      <color rgb="FFF8F8F8"/>
      <color rgb="FFEDAFF7"/>
      <color rgb="FFD545ED"/>
      <color rgb="FFC216E0"/>
      <color rgb="FFDEB5EB"/>
      <color rgb="FFFFB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Yearly</a:t>
            </a:r>
            <a:r>
              <a:rPr lang="en-IN" baseline="0"/>
              <a:t> RTO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'2026'!$A$35</c:f>
              <c:strCache>
                <c:ptCount val="1"/>
                <c:pt idx="0">
                  <c:v>TOTAL WORKING DAYS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'2026'!$B$3:$M$3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Novemer</c:v>
                </c:pt>
                <c:pt idx="11">
                  <c:v>December</c:v>
                </c:pt>
              </c:strCache>
            </c:strRef>
          </c:cat>
          <c:val>
            <c:numRef>
              <c:f>'2026'!$B$35:$M$35</c:f>
              <c:numCache>
                <c:formatCode>General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21</c:v>
                </c:pt>
                <c:pt idx="3">
                  <c:v>21</c:v>
                </c:pt>
                <c:pt idx="4">
                  <c:v>20</c:v>
                </c:pt>
                <c:pt idx="5">
                  <c:v>22</c:v>
                </c:pt>
                <c:pt idx="6">
                  <c:v>23</c:v>
                </c:pt>
                <c:pt idx="7">
                  <c:v>20</c:v>
                </c:pt>
                <c:pt idx="8">
                  <c:v>22</c:v>
                </c:pt>
                <c:pt idx="9">
                  <c:v>20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1-4259-A4A3-F88839593367}"/>
            </c:ext>
          </c:extLst>
        </c:ser>
        <c:ser>
          <c:idx val="1"/>
          <c:order val="1"/>
          <c:tx>
            <c:strRef>
              <c:f>'2026'!$A$36</c:f>
              <c:strCache>
                <c:ptCount val="1"/>
                <c:pt idx="0">
                  <c:v>WFO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'2026'!$B$3:$M$3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Novemer</c:v>
                </c:pt>
                <c:pt idx="11">
                  <c:v>December</c:v>
                </c:pt>
              </c:strCache>
            </c:strRef>
          </c:cat>
          <c:val>
            <c:numRef>
              <c:f>'2026'!$B$36:$M$36</c:f>
              <c:numCache>
                <c:formatCode>General</c:formatCode>
                <c:ptCount val="12"/>
                <c:pt idx="0">
                  <c:v>18</c:v>
                </c:pt>
                <c:pt idx="1">
                  <c:v>7</c:v>
                </c:pt>
                <c:pt idx="2">
                  <c:v>15</c:v>
                </c:pt>
                <c:pt idx="3">
                  <c:v>16</c:v>
                </c:pt>
                <c:pt idx="4">
                  <c:v>16</c:v>
                </c:pt>
                <c:pt idx="5">
                  <c:v>13</c:v>
                </c:pt>
                <c:pt idx="6">
                  <c:v>18</c:v>
                </c:pt>
                <c:pt idx="7">
                  <c:v>14</c:v>
                </c:pt>
                <c:pt idx="8">
                  <c:v>8</c:v>
                </c:pt>
                <c:pt idx="9">
                  <c:v>13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1-4259-A4A3-F88839593367}"/>
            </c:ext>
          </c:extLst>
        </c:ser>
        <c:ser>
          <c:idx val="2"/>
          <c:order val="2"/>
          <c:tx>
            <c:strRef>
              <c:f>'2026'!$A$37</c:f>
              <c:strCache>
                <c:ptCount val="1"/>
                <c:pt idx="0">
                  <c:v>EXCEPTION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'2026'!$B$3:$M$3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Novemer</c:v>
                </c:pt>
                <c:pt idx="11">
                  <c:v>December</c:v>
                </c:pt>
              </c:strCache>
            </c:strRef>
          </c:cat>
          <c:val>
            <c:numRef>
              <c:f>'2026'!$B$37:$M$37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01-4259-A4A3-F88839593367}"/>
            </c:ext>
          </c:extLst>
        </c:ser>
        <c:ser>
          <c:idx val="3"/>
          <c:order val="3"/>
          <c:tx>
            <c:strRef>
              <c:f>'2026'!$A$38</c:f>
              <c:strCache>
                <c:ptCount val="1"/>
                <c:pt idx="0">
                  <c:v>WFH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'2026'!$B$3:$M$3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Novemer</c:v>
                </c:pt>
                <c:pt idx="11">
                  <c:v>December</c:v>
                </c:pt>
              </c:strCache>
            </c:strRef>
          </c:cat>
          <c:val>
            <c:numRef>
              <c:f>'2026'!$B$38:$M$38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01-4259-A4A3-F88839593367}"/>
            </c:ext>
          </c:extLst>
        </c:ser>
        <c:ser>
          <c:idx val="4"/>
          <c:order val="4"/>
          <c:tx>
            <c:strRef>
              <c:f>'2026'!$A$39</c:f>
              <c:strCache>
                <c:ptCount val="1"/>
                <c:pt idx="0">
                  <c:v>LEAVE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'2026'!$B$3:$M$3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Novemer</c:v>
                </c:pt>
                <c:pt idx="11">
                  <c:v>December</c:v>
                </c:pt>
              </c:strCache>
            </c:strRef>
          </c:cat>
          <c:val>
            <c:numRef>
              <c:f>'2026'!$B$39:$M$39</c:f>
              <c:numCache>
                <c:formatCode>General</c:formatCode>
                <c:ptCount val="12"/>
                <c:pt idx="0">
                  <c:v>1</c:v>
                </c:pt>
                <c:pt idx="1">
                  <c:v>8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01-4259-A4A3-F88839593367}"/>
            </c:ext>
          </c:extLst>
        </c:ser>
        <c:ser>
          <c:idx val="5"/>
          <c:order val="5"/>
          <c:tx>
            <c:strRef>
              <c:f>'2026'!$A$42</c:f>
              <c:strCache>
                <c:ptCount val="1"/>
                <c:pt idx="0">
                  <c:v>Work From Home allowed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'2026'!$B$3:$M$3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Novemer</c:v>
                </c:pt>
                <c:pt idx="11">
                  <c:v>December</c:v>
                </c:pt>
              </c:strCache>
            </c:strRef>
          </c:cat>
          <c:val>
            <c:numRef>
              <c:f>'2026'!$B$42:$M$42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01-4259-A4A3-F88839593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948512"/>
        <c:axId val="1120948992"/>
      </c:lineChart>
      <c:catAx>
        <c:axId val="112094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48992"/>
        <c:crosses val="autoZero"/>
        <c:auto val="1"/>
        <c:lblAlgn val="ctr"/>
        <c:lblOffset val="100"/>
        <c:noMultiLvlLbl val="0"/>
      </c:catAx>
      <c:valAx>
        <c:axId val="11209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48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QUARTERLY RTO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'2026'!$A$41</c:f>
              <c:strCache>
                <c:ptCount val="1"/>
                <c:pt idx="0">
                  <c:v>AVERAGE RTO per QUARTER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FFFFF">
                  <a:alpha val="50196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'2026'!$B$41:$M$41</c:f>
              <c:numCache>
                <c:formatCode>0.00%</c:formatCode>
                <c:ptCount val="12"/>
                <c:pt idx="0">
                  <c:v>0.88650793650793647</c:v>
                </c:pt>
                <c:pt idx="3">
                  <c:v>0.85692640692640687</c:v>
                </c:pt>
                <c:pt idx="6">
                  <c:v>0.86172595520421602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4-42AD-BD18-C01B863DF9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40172943"/>
        <c:axId val="40171983"/>
        <c:axId val="0"/>
      </c:bar3DChart>
      <c:catAx>
        <c:axId val="4017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1983"/>
        <c:crosses val="autoZero"/>
        <c:auto val="1"/>
        <c:lblAlgn val="ctr"/>
        <c:lblOffset val="100"/>
        <c:noMultiLvlLbl val="0"/>
      </c:catAx>
      <c:valAx>
        <c:axId val="4017198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RTO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'2026'!$A$40</c:f>
              <c:strCache>
                <c:ptCount val="1"/>
                <c:pt idx="0">
                  <c:v>RTO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solidFill>
                <a:srgbClr val="F8F8F8">
                  <a:alpha val="2902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'2026'!$B$40:$M$40</c:f>
              <c:numCache>
                <c:formatCode>0.00%</c:formatCode>
                <c:ptCount val="12"/>
                <c:pt idx="0">
                  <c:v>0.90476190476190477</c:v>
                </c:pt>
                <c:pt idx="1">
                  <c:v>0.85</c:v>
                </c:pt>
                <c:pt idx="2">
                  <c:v>0.90476190476190477</c:v>
                </c:pt>
                <c:pt idx="3">
                  <c:v>0.8571428571428571</c:v>
                </c:pt>
                <c:pt idx="4">
                  <c:v>0.85</c:v>
                </c:pt>
                <c:pt idx="5">
                  <c:v>0.86363636363636365</c:v>
                </c:pt>
                <c:pt idx="6">
                  <c:v>0.82608695652173914</c:v>
                </c:pt>
                <c:pt idx="7">
                  <c:v>0.85</c:v>
                </c:pt>
                <c:pt idx="8">
                  <c:v>0.90909090909090906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E-4C2A-BBE9-DD69781A3E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shape val="box"/>
        <c:axId val="1997553664"/>
        <c:axId val="1239918223"/>
        <c:axId val="0"/>
      </c:bar3DChart>
      <c:catAx>
        <c:axId val="199755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918223"/>
        <c:crosses val="autoZero"/>
        <c:auto val="1"/>
        <c:lblAlgn val="ctr"/>
        <c:lblOffset val="100"/>
        <c:noMultiLvlLbl val="0"/>
      </c:catAx>
      <c:valAx>
        <c:axId val="12399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55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586740</xdr:colOff>
      <xdr:row>29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D8BFE-97C0-4879-9256-1B220C475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7620</xdr:colOff>
      <xdr:row>0</xdr:row>
      <xdr:rowOff>0</xdr:rowOff>
    </xdr:from>
    <xdr:to>
      <xdr:col>34</xdr:col>
      <xdr:colOff>15240</xdr:colOff>
      <xdr:row>29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B87623-57BA-4DB9-989B-FA827CA33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15240</xdr:rowOff>
    </xdr:from>
    <xdr:to>
      <xdr:col>18</xdr:col>
      <xdr:colOff>0</xdr:colOff>
      <xdr:row>57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76F6B2-F64F-4C11-81D0-D625C9B3E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bhishek Biswas" id="{D400FB44-86C8-428F-8D99-FCACA48EA029}" userId="S::1852267@tcs.com::40908037-7b16-4077-859a-ca79ed1aa04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C0915-A1C3-4718-842D-BB7A46453445}" name="Table1" displayName="Table1" ref="A1:C8" totalsRowShown="0">
  <autoFilter ref="A1:C8" xr:uid="{A24C0915-A1C3-4718-842D-BB7A46453445}"/>
  <tableColumns count="3">
    <tableColumn id="1" xr3:uid="{6A654E23-1973-4FF2-9654-4DCC3DB5D529}" name="Start date" dataDxfId="119"/>
    <tableColumn id="2" xr3:uid="{C0B2BC46-3A3C-49B9-BB25-5A5E67C46D09}" name="End Date" dataDxfId="118"/>
    <tableColumn id="3" xr3:uid="{FD3A634B-3224-42B1-A023-B9B11F03368A}" name="Grade" dataDxfId="11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18FC8D-7750-40D2-8CD9-96347D15B538}" name="Table33" displayName="Table33" ref="A2:M23" headerRowCount="0" headerRowDxfId="116">
  <tableColumns count="13">
    <tableColumn id="1" xr3:uid="{585CF23C-8141-4808-B8AC-B201709AAA4D}" name="Column1" totalsRowLabel="Total" headerRowDxfId="115" dataDxfId="114" totalsRowDxfId="113"/>
    <tableColumn id="2" xr3:uid="{569B9C4C-47AE-40EA-ABB6-29403A01B128}" name="Column2" headerRowDxfId="112" dataDxfId="111"/>
    <tableColumn id="3" xr3:uid="{5358F8B1-E24C-43FB-BE46-868EB0BFC3FA}" name="Column3" headerRowDxfId="110" dataDxfId="109"/>
    <tableColumn id="4" xr3:uid="{F01E627D-28AD-4A81-8904-F5A8AE31887A}" name="Column4" headerRowDxfId="108" dataDxfId="107"/>
    <tableColumn id="5" xr3:uid="{026476A3-F4C2-476F-9578-23402CA1DAF9}" name="Column5" headerRowDxfId="106" dataDxfId="105"/>
    <tableColumn id="6" xr3:uid="{F0BA2208-716F-4D0F-AD3B-0CBA46F39FB9}" name="Column6" headerRowDxfId="104" dataDxfId="103"/>
    <tableColumn id="7" xr3:uid="{BD4F636C-2DD0-4DF8-9A88-18259E558CAA}" name="Column7" headerRowDxfId="102" dataDxfId="101"/>
    <tableColumn id="8" xr3:uid="{61544668-A838-4DA7-B669-4DF7A8A7EA0F}" name="Column8" headerRowDxfId="100" dataDxfId="99"/>
    <tableColumn id="9" xr3:uid="{11D61CBB-F583-4946-BD36-553BF50D836A}" name="Column9" headerRowDxfId="98" dataDxfId="97"/>
    <tableColumn id="10" xr3:uid="{A0A6C9C6-92F6-4498-BF44-83728E5E4004}" name="Column10" headerRowDxfId="96" dataDxfId="95"/>
    <tableColumn id="11" xr3:uid="{C03323F4-29DD-44F2-B438-CC2E7334EAC3}" name="Column11" headerRowDxfId="94" dataDxfId="93"/>
    <tableColumn id="12" xr3:uid="{34555CD6-DEFA-4A69-8508-92647EC15BFA}" name="Column12" headerRowDxfId="92" dataDxfId="91"/>
    <tableColumn id="13" xr3:uid="{FD252C79-261B-4B8F-93BD-3DDEF6450B12}" name="Column13" totalsRowFunction="count" headerRowDxfId="90" dataDxfId="89"/>
  </tableColumns>
  <tableStyleInfo name="TableStyleLight8" showFirstColumn="1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B7C891-A618-4EAF-AA53-B211AB7D7B58}" name="Table3" displayName="Table3" ref="A2:M21" headerRowCount="0" headerRowDxfId="88">
  <tableColumns count="13">
    <tableColumn id="1" xr3:uid="{0AF53D33-D9C8-4AF4-94D5-69575CF077F6}" name="Column1" totalsRowLabel="Total" headerRowDxfId="87" dataDxfId="86" totalsRowDxfId="85"/>
    <tableColumn id="2" xr3:uid="{D91E92EC-0268-4619-9687-C3040903E80B}" name="Column2" headerRowDxfId="84" dataDxfId="83"/>
    <tableColumn id="3" xr3:uid="{ACB52DE9-08FE-4B4A-9980-41D62F83E98B}" name="Column3" headerRowDxfId="82" dataDxfId="81"/>
    <tableColumn id="4" xr3:uid="{E953B155-8ECB-4859-B7AF-689C15707952}" name="Column4" headerRowDxfId="80" dataDxfId="79"/>
    <tableColumn id="5" xr3:uid="{94731C8D-5A0A-4DF0-828E-A7A74A359246}" name="Column5" headerRowDxfId="78" dataDxfId="77"/>
    <tableColumn id="6" xr3:uid="{5B59FEC8-2F81-418A-9B42-01C3A8AC332D}" name="Column6" headerRowDxfId="76" dataDxfId="75"/>
    <tableColumn id="7" xr3:uid="{A32D6198-D0E6-40CB-9F26-ECB6DE980727}" name="Column7" headerRowDxfId="74" dataDxfId="73"/>
    <tableColumn id="8" xr3:uid="{959BCE5B-D456-47F4-A935-A30E367FB53E}" name="Column8" headerRowDxfId="72" dataDxfId="71"/>
    <tableColumn id="9" xr3:uid="{7E2F4126-3404-4D68-85F8-4351186029C7}" name="Column9" headerRowDxfId="70" dataDxfId="69"/>
    <tableColumn id="10" xr3:uid="{431FA015-AD83-4420-97BB-1B20AA3D7C17}" name="Column10" headerRowDxfId="68" dataDxfId="67"/>
    <tableColumn id="11" xr3:uid="{2FF9B3CD-A783-43FA-8C2A-22FAFF000296}" name="Column11" headerRowDxfId="66" dataDxfId="65"/>
    <tableColumn id="12" xr3:uid="{EAC5B340-A8BD-4746-9431-5EC3C0D3792D}" name="Column12" headerRowDxfId="64" dataDxfId="63"/>
    <tableColumn id="13" xr3:uid="{B5A7B39F-03A3-4269-9E6B-A31F6EFEE80D}" name="Column13" totalsRowFunction="count" headerRowDxfId="62" dataDxfId="61"/>
  </tableColumns>
  <tableStyleInfo name="TableStyleLight8" showFirstColumn="1" showLastColumn="0" showRowStripes="1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5" dT="2026-06-30T07:37:02.20" personId="{D400FB44-86C8-428F-8D99-FCACA48EA029}" id="{2CE7B87A-37A6-462A-90D2-35E528B57AF3}">
    <text>TCS Welfare Trust</text>
  </threadedComment>
  <threadedComment ref="G15" dT="2026-06-30T07:16:01.08" personId="{D400FB44-86C8-428F-8D99-FCACA48EA029}" id="{78F7A8CB-1BC7-49E6-915A-A797917D2643}">
    <text>Arrears deduction of below section:
1. House Rent Allowance - 5856
2. Leave Travel Allowance - 2800
3. Internet Allowance - 820
4. Provident Fund - 144</text>
  </threadedComment>
  <threadedComment ref="B21" dT="2026-04-14T07:12:17.53" personId="{D400FB44-86C8-428F-8D99-FCACA48EA029}" id="{D192DC18-90FA-4576-8B08-282EC7FABF0A}">
    <text>Quarterly Bonus</text>
  </threadedComment>
  <threadedComment ref="D21" dT="2026-04-14T07:11:10.45" personId="{D400FB44-86C8-428F-8D99-FCACA48EA029}" id="{92BC53FA-FD31-4860-A5FC-6D03683F8774}">
    <text>Leave Encashment</text>
  </threadedComment>
  <threadedComment ref="E21" dT="2026-06-30T07:16:34.08" personId="{D400FB44-86C8-428F-8D99-FCACA48EA029}" id="{8574932E-EA38-4138-B6DC-1DE87951CABB}">
    <text>Quarterly Bonus</text>
  </threadedComment>
  <threadedComment ref="G21" dT="2026-06-30T07:13:54.18" personId="{D400FB44-86C8-428F-8D99-FCACA48EA029}" id="{D2E79C99-EF36-4FF1-AB23-8B8DFE777AB8}">
    <text>Arrears addition of below sections
1. Basic Salary - 1200
2. Personal Allowance - 2142
3. Conveyance Allowance - 10944
4. Performance pay - 600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5-09-16T15:48:42.78" personId="{D400FB44-86C8-428F-8D99-FCACA48EA029}" id="{A0C1C2EF-0555-4B63-8414-B842DC67A133}">
    <text>Flexi</text>
  </threadedComment>
  <threadedComment ref="H17" dT="2025-07-28T09:47:43.78" personId="{D400FB44-86C8-428F-8D99-FCACA48EA029}" id="{98542BE4-EB69-4153-ABE8-6AD57E6F7534}">
    <text>Infta</text>
  </threadedComment>
  <threadedComment ref="G30" dT="2025-07-22T06:48:35.28" personId="{D400FB44-86C8-428F-8D99-FCACA48EA029}" id="{B60F93F4-D1D4-49BB-B07A-8ADC15516FB6}">
    <text>Sick</text>
  </threadedComment>
  <threadedComment ref="J33" dT="2025-09-16T15:48:30.71" personId="{D400FB44-86C8-428F-8D99-FCACA48EA029}" id="{FBFE6E67-994E-49B3-B39B-12FEF12A713C}">
    <text>Flexi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4" dT="2025-07-01T07:10:15.76" personId="{D400FB44-86C8-428F-8D99-FCACA48EA029}" id="{41193F09-8069-40DA-8855-2DCEF5EAF06B}">
    <text>TCS Welfare Trust</text>
  </threadedComment>
  <threadedComment ref="F14" dT="2025-08-18T07:05:25.03" personId="{D400FB44-86C8-428F-8D99-FCACA48EA029}" id="{FB387E50-EB56-472E-9FEC-5E72C88D9B0D}">
    <text>Health Insurance Scheme Premium</text>
  </threadedComment>
  <threadedComment ref="G14" dT="2025-07-01T07:09:40.21" personId="{D400FB44-86C8-428F-8D99-FCACA48EA029}" id="{8A080D58-D785-474C-91EF-DF57B94441C7}">
    <text>Health Insurance Scheme Premium</text>
  </threadedComment>
  <threadedComment ref="B19" dT="2025-07-01T07:07:01.20" personId="{D400FB44-86C8-428F-8D99-FCACA48EA029}" id="{6C71375D-810F-4785-AC53-68A2C0536732}">
    <text>Quarterly Bonus</text>
  </threadedComment>
  <threadedComment ref="C19" dT="2025-07-01T07:07:31.01" personId="{D400FB44-86C8-428F-8D99-FCACA48EA029}" id="{778BF911-B5B9-41B5-97DD-C7A1F88DA98F}">
    <text>National Holiday Payout</text>
  </threadedComment>
  <threadedComment ref="D19" dT="2025-07-01T07:08:34.25" personId="{D400FB44-86C8-428F-8D99-FCACA48EA029}" id="{0FE86D18-106C-4A9A-9D2C-DB41AA83C0FD}">
    <text>Leave Encashment</text>
  </threadedComment>
  <threadedComment ref="H19" dT="2025-08-13T06:24:28.82" personId="{D400FB44-86C8-428F-8D99-FCACA48EA029}" id="{B370746D-C7E1-4BF8-8372-AA66005A9D0D}">
    <text>Quarterly Bonus</text>
  </threadedComment>
  <threadedComment ref="K19" dT="2025-11-13T17:27:47.12" personId="{D400FB44-86C8-428F-8D99-FCACA48EA029}" id="{7A91ACD3-FB21-4CC8-8D06-483F5A60A31C}">
    <text>Quarterly Performance Bonus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21" dT="2025-10-30T07:27:04.00" personId="{D400FB44-86C8-428F-8D99-FCACA48EA029}" id="{A8AD6839-3A37-4B63-9414-9F760ABB97F7}">
    <text>Without Night Shift</text>
  </threadedComment>
  <threadedComment ref="D22" dT="2023-07-31T17:49:50.80" personId="{D400FB44-86C8-428F-8D99-FCACA48EA029}" id="{60204F08-0DD7-4D4A-B193-CD76506C6BB1}">
    <text>Hike 2023</text>
  </threadedComment>
  <threadedComment ref="F22" dT="2023-07-31T17:49:50.80" personId="{D400FB44-86C8-428F-8D99-FCACA48EA029}" id="{05C2AF9A-272E-401E-9732-B9A5897B6B70}">
    <text xml:space="preserve">2 years anniversary </text>
  </threadedComment>
  <threadedComment ref="H22" dT="2025-02-13T08:23:20.64" personId="{D400FB44-86C8-428F-8D99-FCACA48EA029}" id="{2549E33A-2E35-4E97-BDC3-8A27E80A6C36}">
    <text>Hike 2024</text>
  </threadedComment>
  <threadedComment ref="J22" dT="2025-10-30T07:27:18.21" personId="{D400FB44-86C8-428F-8D99-FCACA48EA029}" id="{0977A0D4-17EA-45E7-9C71-CA1328F7B5D4}">
    <text>Hike 2025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@google.2026biswas" TargetMode="External"/><Relationship Id="rId2" Type="http://schemas.openxmlformats.org/officeDocument/2006/relationships/hyperlink" Target="mailto:abhishek.biswas2@tcs.com" TargetMode="External"/><Relationship Id="rId1" Type="http://schemas.openxmlformats.org/officeDocument/2006/relationships/hyperlink" Target="mailto:abhishekartist5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336A-8E79-40D4-89D5-A27F9EA1AEFC}">
  <dimension ref="A1:B5"/>
  <sheetViews>
    <sheetView workbookViewId="0">
      <selection activeCell="B5" sqref="B5"/>
    </sheetView>
  </sheetViews>
  <sheetFormatPr defaultRowHeight="14.4" x14ac:dyDescent="0.3"/>
  <cols>
    <col min="1" max="1" width="13.77734375" bestFit="1" customWidth="1"/>
    <col min="2" max="2" width="32.88671875" bestFit="1" customWidth="1"/>
  </cols>
  <sheetData>
    <row r="1" spans="1:2" x14ac:dyDescent="0.3">
      <c r="A1" t="s">
        <v>0</v>
      </c>
      <c r="B1" s="14">
        <v>550013438</v>
      </c>
    </row>
    <row r="2" spans="1:2" x14ac:dyDescent="0.3">
      <c r="A2" t="s">
        <v>1</v>
      </c>
      <c r="B2" s="21" t="s">
        <v>118</v>
      </c>
    </row>
    <row r="3" spans="1:2" x14ac:dyDescent="0.3">
      <c r="A3" t="s">
        <v>3</v>
      </c>
      <c r="B3" s="14" t="s">
        <v>4</v>
      </c>
    </row>
    <row r="4" spans="1:2" x14ac:dyDescent="0.3">
      <c r="A4" t="s">
        <v>123</v>
      </c>
      <c r="B4" s="14">
        <v>251009</v>
      </c>
    </row>
    <row r="5" spans="1:2" x14ac:dyDescent="0.3">
      <c r="B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78BC-4DB0-4354-8FB4-0A8E698447E9}">
  <dimension ref="A1:C3"/>
  <sheetViews>
    <sheetView workbookViewId="0">
      <selection activeCell="C4" sqref="C4"/>
    </sheetView>
  </sheetViews>
  <sheetFormatPr defaultRowHeight="14.4" x14ac:dyDescent="0.3"/>
  <cols>
    <col min="1" max="1" width="6.5546875" bestFit="1" customWidth="1"/>
    <col min="2" max="2" width="25.109375" bestFit="1" customWidth="1"/>
    <col min="3" max="3" width="25.88671875" bestFit="1" customWidth="1"/>
  </cols>
  <sheetData>
    <row r="1" spans="1:3" x14ac:dyDescent="0.3">
      <c r="A1" t="s">
        <v>5</v>
      </c>
      <c r="B1" t="s">
        <v>6</v>
      </c>
      <c r="C1" t="s">
        <v>1</v>
      </c>
    </row>
    <row r="2" spans="1:3" x14ac:dyDescent="0.3">
      <c r="A2" t="s">
        <v>7</v>
      </c>
      <c r="B2" s="15" t="s">
        <v>8</v>
      </c>
      <c r="C2" s="21" t="s">
        <v>9</v>
      </c>
    </row>
    <row r="3" spans="1:3" x14ac:dyDescent="0.3">
      <c r="A3" t="s">
        <v>119</v>
      </c>
      <c r="B3" s="15" t="s">
        <v>120</v>
      </c>
      <c r="C3" s="15" t="s">
        <v>121</v>
      </c>
    </row>
  </sheetData>
  <hyperlinks>
    <hyperlink ref="B2" r:id="rId1" xr:uid="{067CF403-147C-433E-B135-7C9C74A14B95}"/>
    <hyperlink ref="B3" r:id="rId2" xr:uid="{9F0F4C98-DF59-4BE6-B9B3-EC3BEDAE2795}"/>
    <hyperlink ref="C3" r:id="rId3" xr:uid="{EFDF4EA4-C835-4CBE-84B3-5C44D6232C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3543-4E25-4C24-B359-101F9A2EE757}">
  <dimension ref="A1:B11"/>
  <sheetViews>
    <sheetView workbookViewId="0">
      <selection activeCell="A10" sqref="A10:B10"/>
    </sheetView>
  </sheetViews>
  <sheetFormatPr defaultRowHeight="14.4" x14ac:dyDescent="0.3"/>
  <cols>
    <col min="1" max="1" width="17.109375" bestFit="1" customWidth="1"/>
    <col min="2" max="2" width="17.664062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s="21" t="s">
        <v>12</v>
      </c>
      <c r="B2" s="21" t="s">
        <v>12</v>
      </c>
    </row>
    <row r="3" spans="1:2" x14ac:dyDescent="0.3">
      <c r="A3" s="21" t="s">
        <v>13</v>
      </c>
    </row>
    <row r="4" spans="1:2" x14ac:dyDescent="0.3">
      <c r="A4" s="21" t="s">
        <v>14</v>
      </c>
      <c r="B4" s="21" t="s">
        <v>14</v>
      </c>
    </row>
    <row r="5" spans="1:2" x14ac:dyDescent="0.3">
      <c r="A5" s="21" t="s">
        <v>15</v>
      </c>
      <c r="B5" s="21" t="s">
        <v>15</v>
      </c>
    </row>
    <row r="6" spans="1:2" x14ac:dyDescent="0.3">
      <c r="A6" s="21" t="s">
        <v>16</v>
      </c>
      <c r="B6" s="21" t="s">
        <v>17</v>
      </c>
    </row>
    <row r="7" spans="1:2" x14ac:dyDescent="0.3">
      <c r="A7" s="21" t="s">
        <v>18</v>
      </c>
      <c r="B7" s="21" t="s">
        <v>18</v>
      </c>
    </row>
    <row r="8" spans="1:2" x14ac:dyDescent="0.3">
      <c r="A8" s="21" t="s">
        <v>111</v>
      </c>
      <c r="B8" s="21" t="s">
        <v>2</v>
      </c>
    </row>
    <row r="9" spans="1:2" x14ac:dyDescent="0.3">
      <c r="A9" s="21" t="s">
        <v>117</v>
      </c>
      <c r="B9" s="21" t="s">
        <v>117</v>
      </c>
    </row>
    <row r="10" spans="1:2" x14ac:dyDescent="0.3">
      <c r="A10" s="21" t="s">
        <v>128</v>
      </c>
      <c r="B10" s="21" t="s">
        <v>128</v>
      </c>
    </row>
    <row r="11" spans="1:2" x14ac:dyDescent="0.3">
      <c r="A11" t="s">
        <v>130</v>
      </c>
      <c r="B1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D9E2-73A2-449F-ABA9-121CF69D31A1}">
  <dimension ref="A1:C8"/>
  <sheetViews>
    <sheetView workbookViewId="0">
      <selection activeCell="A8" sqref="A8"/>
    </sheetView>
  </sheetViews>
  <sheetFormatPr defaultRowHeight="14.4" x14ac:dyDescent="0.3"/>
  <cols>
    <col min="1" max="1" width="12.88671875" customWidth="1"/>
    <col min="2" max="2" width="11.109375" bestFit="1" customWidth="1"/>
    <col min="3" max="3" width="9.77734375" style="2" bestFit="1" customWidth="1"/>
  </cols>
  <sheetData>
    <row r="1" spans="1:3" x14ac:dyDescent="0.3">
      <c r="A1" t="s">
        <v>19</v>
      </c>
      <c r="B1" t="s">
        <v>20</v>
      </c>
      <c r="C1" s="2" t="s">
        <v>122</v>
      </c>
    </row>
    <row r="2" spans="1:3" x14ac:dyDescent="0.3">
      <c r="A2" s="22">
        <v>44105</v>
      </c>
      <c r="B2" s="22">
        <v>44440</v>
      </c>
      <c r="C2" s="2" t="s">
        <v>21</v>
      </c>
    </row>
    <row r="3" spans="1:3" x14ac:dyDescent="0.3">
      <c r="A3" s="22">
        <v>44470</v>
      </c>
      <c r="B3" s="22">
        <v>44805</v>
      </c>
      <c r="C3" s="2" t="s">
        <v>21</v>
      </c>
    </row>
    <row r="4" spans="1:3" x14ac:dyDescent="0.3">
      <c r="A4" s="22">
        <v>44835</v>
      </c>
      <c r="B4" s="22">
        <v>45170</v>
      </c>
      <c r="C4" s="2" t="s">
        <v>22</v>
      </c>
    </row>
    <row r="5" spans="1:3" x14ac:dyDescent="0.3">
      <c r="A5" s="22">
        <v>45200</v>
      </c>
      <c r="B5" s="22">
        <v>45536</v>
      </c>
      <c r="C5" s="2" t="s">
        <v>23</v>
      </c>
    </row>
    <row r="6" spans="1:3" x14ac:dyDescent="0.3">
      <c r="A6" s="22">
        <v>45566</v>
      </c>
      <c r="B6" s="22">
        <v>45901</v>
      </c>
      <c r="C6" s="2" t="s">
        <v>23</v>
      </c>
    </row>
    <row r="7" spans="1:3" x14ac:dyDescent="0.3">
      <c r="A7" s="87">
        <v>45901</v>
      </c>
      <c r="B7" s="87">
        <v>46296</v>
      </c>
      <c r="C7" s="2" t="s">
        <v>23</v>
      </c>
    </row>
    <row r="8" spans="1:3" x14ac:dyDescent="0.3">
      <c r="A8" s="87"/>
      <c r="B8" s="8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330C-80BD-4E12-8BFC-530F5566140C}">
  <sheetPr>
    <tabColor rgb="FF0070C0"/>
  </sheetPr>
  <dimension ref="A1:P43"/>
  <sheetViews>
    <sheetView tabSelected="1" zoomScale="85" zoomScaleNormal="85" workbookViewId="0">
      <pane xSplit="1" ySplit="3" topLeftCell="C21" activePane="bottomRight" state="frozen"/>
      <selection pane="topRight"/>
      <selection pane="bottomLeft"/>
      <selection pane="bottomRight" activeCell="K25" sqref="K25"/>
    </sheetView>
  </sheetViews>
  <sheetFormatPr defaultColWidth="9.109375" defaultRowHeight="14.4" x14ac:dyDescent="0.3"/>
  <cols>
    <col min="1" max="1" width="24.44140625" style="2" bestFit="1" customWidth="1"/>
    <col min="2" max="13" width="19.6640625" style="2" customWidth="1"/>
    <col min="14" max="14" width="9.109375" style="2"/>
    <col min="15" max="15" width="18.109375" style="2" bestFit="1" customWidth="1"/>
    <col min="16" max="16384" width="9.109375" style="2"/>
  </cols>
  <sheetData>
    <row r="1" spans="1:16" x14ac:dyDescent="0.3">
      <c r="A1" s="2" t="s">
        <v>24</v>
      </c>
      <c r="B1" s="113">
        <v>2025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O1" s="114" t="s">
        <v>25</v>
      </c>
      <c r="P1" s="114"/>
    </row>
    <row r="2" spans="1:16" ht="15" thickBot="1" x14ac:dyDescent="0.35">
      <c r="A2" s="2" t="s">
        <v>26</v>
      </c>
      <c r="B2" s="116" t="s">
        <v>27</v>
      </c>
      <c r="C2" s="116"/>
      <c r="D2" s="116"/>
      <c r="E2" s="116" t="s">
        <v>28</v>
      </c>
      <c r="F2" s="116"/>
      <c r="G2" s="116"/>
      <c r="H2" s="116" t="s">
        <v>29</v>
      </c>
      <c r="I2" s="116"/>
      <c r="J2" s="116"/>
      <c r="K2" s="116" t="s">
        <v>30</v>
      </c>
      <c r="L2" s="116"/>
      <c r="M2" s="116"/>
      <c r="O2" s="115"/>
      <c r="P2" s="115"/>
    </row>
    <row r="3" spans="1:16" ht="15" thickBot="1" x14ac:dyDescent="0.35">
      <c r="A3" s="2" t="s">
        <v>31</v>
      </c>
      <c r="B3" s="109" t="s">
        <v>32</v>
      </c>
      <c r="C3" s="110" t="s">
        <v>33</v>
      </c>
      <c r="D3" s="111" t="s">
        <v>34</v>
      </c>
      <c r="E3" s="109" t="s">
        <v>35</v>
      </c>
      <c r="F3" s="110" t="s">
        <v>36</v>
      </c>
      <c r="G3" s="56" t="s">
        <v>37</v>
      </c>
      <c r="H3" s="54" t="s">
        <v>38</v>
      </c>
      <c r="I3" s="55" t="s">
        <v>39</v>
      </c>
      <c r="J3" s="56" t="s">
        <v>40</v>
      </c>
      <c r="K3" s="54" t="s">
        <v>41</v>
      </c>
      <c r="L3" s="55" t="s">
        <v>42</v>
      </c>
      <c r="M3" s="56" t="s">
        <v>43</v>
      </c>
      <c r="O3" s="65" t="s">
        <v>44</v>
      </c>
      <c r="P3" s="65" t="s">
        <v>45</v>
      </c>
    </row>
    <row r="4" spans="1:16" x14ac:dyDescent="0.3">
      <c r="A4" s="2">
        <v>1</v>
      </c>
      <c r="B4" s="90" t="s">
        <v>48</v>
      </c>
      <c r="C4" s="90" t="s">
        <v>47</v>
      </c>
      <c r="D4" s="91" t="s">
        <v>47</v>
      </c>
      <c r="E4" s="90" t="s">
        <v>49</v>
      </c>
      <c r="F4" s="90" t="s">
        <v>48</v>
      </c>
      <c r="G4" s="90" t="s">
        <v>49</v>
      </c>
      <c r="H4" s="90" t="s">
        <v>49</v>
      </c>
      <c r="I4" s="91" t="s">
        <v>47</v>
      </c>
      <c r="J4" s="90" t="s">
        <v>49</v>
      </c>
      <c r="K4" s="90" t="s">
        <v>49</v>
      </c>
      <c r="L4" s="90" t="s">
        <v>49</v>
      </c>
      <c r="M4" s="90" t="s">
        <v>49</v>
      </c>
      <c r="O4" s="16" t="s">
        <v>51</v>
      </c>
      <c r="P4" s="71">
        <f xml:space="preserve"> 35.62 + 2.5 - 0.5 - 0.5</f>
        <v>37.119999999999997</v>
      </c>
    </row>
    <row r="5" spans="1:16" x14ac:dyDescent="0.3">
      <c r="A5" s="2">
        <v>2</v>
      </c>
      <c r="B5" s="90" t="s">
        <v>48</v>
      </c>
      <c r="C5" s="90" t="s">
        <v>50</v>
      </c>
      <c r="D5" s="90" t="s">
        <v>49</v>
      </c>
      <c r="E5" s="90" t="s">
        <v>49</v>
      </c>
      <c r="F5" s="91" t="s">
        <v>47</v>
      </c>
      <c r="G5" s="90" t="s">
        <v>49</v>
      </c>
      <c r="H5" s="90" t="s">
        <v>49</v>
      </c>
      <c r="I5" s="90" t="s">
        <v>47</v>
      </c>
      <c r="J5" s="90" t="s">
        <v>49</v>
      </c>
      <c r="K5" s="90" t="s">
        <v>52</v>
      </c>
      <c r="L5" s="90" t="s">
        <v>49</v>
      </c>
      <c r="M5" s="90" t="s">
        <v>49</v>
      </c>
      <c r="O5" s="16" t="s">
        <v>53</v>
      </c>
      <c r="P5" s="71">
        <f>1.75</f>
        <v>1.75</v>
      </c>
    </row>
    <row r="6" spans="1:16" ht="17.399999999999999" customHeight="1" x14ac:dyDescent="0.3">
      <c r="A6" s="2">
        <v>3</v>
      </c>
      <c r="B6" s="90" t="s">
        <v>47</v>
      </c>
      <c r="C6" s="90" t="s">
        <v>50</v>
      </c>
      <c r="D6" s="90" t="s">
        <v>49</v>
      </c>
      <c r="E6" s="90" t="s">
        <v>49</v>
      </c>
      <c r="F6" s="90" t="s">
        <v>47</v>
      </c>
      <c r="G6" s="90" t="s">
        <v>49</v>
      </c>
      <c r="H6" s="90" t="s">
        <v>49</v>
      </c>
      <c r="I6" s="90" t="s">
        <v>49</v>
      </c>
      <c r="J6" s="90" t="s">
        <v>113</v>
      </c>
      <c r="K6" s="91" t="s">
        <v>47</v>
      </c>
      <c r="L6" s="90" t="s">
        <v>49</v>
      </c>
      <c r="M6" s="90" t="s">
        <v>49</v>
      </c>
      <c r="O6" s="16" t="s">
        <v>54</v>
      </c>
      <c r="P6" s="71">
        <f xml:space="preserve"> 44 + 4</f>
        <v>48</v>
      </c>
    </row>
    <row r="7" spans="1:16" x14ac:dyDescent="0.3">
      <c r="A7" s="2">
        <v>4</v>
      </c>
      <c r="B7" s="90" t="s">
        <v>47</v>
      </c>
      <c r="C7" s="90" t="s">
        <v>50</v>
      </c>
      <c r="D7" s="90" t="s">
        <v>52</v>
      </c>
      <c r="E7" s="91" t="s">
        <v>47</v>
      </c>
      <c r="F7" s="90" t="s">
        <v>49</v>
      </c>
      <c r="G7" s="90" t="s">
        <v>49</v>
      </c>
      <c r="H7" s="90" t="s">
        <v>47</v>
      </c>
      <c r="I7" s="90" t="s">
        <v>49</v>
      </c>
      <c r="J7" s="90" t="s">
        <v>50</v>
      </c>
      <c r="K7" s="90" t="s">
        <v>47</v>
      </c>
      <c r="L7" s="90" t="s">
        <v>49</v>
      </c>
      <c r="M7" s="90" t="s">
        <v>49</v>
      </c>
      <c r="O7" s="95" t="s">
        <v>55</v>
      </c>
      <c r="P7" s="96">
        <f xml:space="preserve"> 0 + 2</f>
        <v>2</v>
      </c>
    </row>
    <row r="8" spans="1:16" x14ac:dyDescent="0.3">
      <c r="A8" s="2">
        <v>5</v>
      </c>
      <c r="B8" s="90" t="s">
        <v>49</v>
      </c>
      <c r="C8" s="90" t="s">
        <v>50</v>
      </c>
      <c r="D8" s="90" t="s">
        <v>48</v>
      </c>
      <c r="E8" s="90" t="s">
        <v>47</v>
      </c>
      <c r="F8" s="90" t="s">
        <v>49</v>
      </c>
      <c r="G8" s="90" t="s">
        <v>48</v>
      </c>
      <c r="H8" s="90" t="s">
        <v>47</v>
      </c>
      <c r="I8" s="90" t="s">
        <v>50</v>
      </c>
      <c r="J8" s="91" t="s">
        <v>47</v>
      </c>
      <c r="K8" s="90" t="s">
        <v>113</v>
      </c>
      <c r="L8" s="90" t="s">
        <v>49</v>
      </c>
      <c r="M8" s="90" t="s">
        <v>49</v>
      </c>
      <c r="O8" s="99" t="s">
        <v>52</v>
      </c>
      <c r="P8" s="100">
        <f>COUNTIF(B4:M34,UPPER(O8))</f>
        <v>8</v>
      </c>
    </row>
    <row r="9" spans="1:16" x14ac:dyDescent="0.3">
      <c r="A9" s="2">
        <v>6</v>
      </c>
      <c r="B9" s="90" t="s">
        <v>49</v>
      </c>
      <c r="C9" s="90" t="s">
        <v>50</v>
      </c>
      <c r="D9" s="90" t="s">
        <v>48</v>
      </c>
      <c r="E9" s="90" t="s">
        <v>49</v>
      </c>
      <c r="F9" s="90" t="s">
        <v>49</v>
      </c>
      <c r="G9" s="91" t="s">
        <v>47</v>
      </c>
      <c r="H9" s="90" t="s">
        <v>49</v>
      </c>
      <c r="I9" s="90" t="s">
        <v>49</v>
      </c>
      <c r="J9" s="90" t="s">
        <v>47</v>
      </c>
      <c r="K9" s="90" t="s">
        <v>113</v>
      </c>
      <c r="L9" s="90" t="s">
        <v>49</v>
      </c>
      <c r="M9" s="90" t="s">
        <v>49</v>
      </c>
      <c r="O9" s="97"/>
      <c r="P9" s="98">
        <f>SUM(P4:P7)</f>
        <v>88.87</v>
      </c>
    </row>
    <row r="10" spans="1:16" x14ac:dyDescent="0.3">
      <c r="A10" s="2">
        <v>7</v>
      </c>
      <c r="B10" s="90" t="s">
        <v>49</v>
      </c>
      <c r="C10" s="91" t="s">
        <v>47</v>
      </c>
      <c r="D10" s="91" t="s">
        <v>47</v>
      </c>
      <c r="E10" s="90" t="s">
        <v>50</v>
      </c>
      <c r="F10" s="90" t="s">
        <v>49</v>
      </c>
      <c r="G10" s="90" t="s">
        <v>47</v>
      </c>
      <c r="H10" s="90" t="s">
        <v>49</v>
      </c>
      <c r="I10" s="90" t="s">
        <v>48</v>
      </c>
      <c r="J10" s="90" t="s">
        <v>49</v>
      </c>
      <c r="K10" s="90" t="s">
        <v>113</v>
      </c>
      <c r="L10" s="90" t="s">
        <v>49</v>
      </c>
      <c r="M10" s="90" t="s">
        <v>49</v>
      </c>
    </row>
    <row r="11" spans="1:16" x14ac:dyDescent="0.3">
      <c r="A11" s="2">
        <v>8</v>
      </c>
      <c r="B11" s="90" t="s">
        <v>49</v>
      </c>
      <c r="C11" s="90" t="s">
        <v>47</v>
      </c>
      <c r="D11" s="90" t="s">
        <v>47</v>
      </c>
      <c r="E11" s="90" t="s">
        <v>49</v>
      </c>
      <c r="F11" s="90" t="s">
        <v>49</v>
      </c>
      <c r="G11" s="90" t="s">
        <v>49</v>
      </c>
      <c r="H11" s="90" t="s">
        <v>48</v>
      </c>
      <c r="I11" s="91" t="s">
        <v>47</v>
      </c>
      <c r="J11" s="90" t="s">
        <v>49</v>
      </c>
      <c r="K11" s="90" t="s">
        <v>113</v>
      </c>
      <c r="L11" s="90" t="s">
        <v>49</v>
      </c>
      <c r="M11" s="90" t="s">
        <v>49</v>
      </c>
    </row>
    <row r="12" spans="1:16" x14ac:dyDescent="0.3">
      <c r="A12" s="2">
        <v>9</v>
      </c>
      <c r="B12" s="90" t="s">
        <v>49</v>
      </c>
      <c r="C12" s="90" t="s">
        <v>48</v>
      </c>
      <c r="D12" s="90" t="s">
        <v>49</v>
      </c>
      <c r="E12" s="90" t="s">
        <v>49</v>
      </c>
      <c r="F12" s="91" t="s">
        <v>47</v>
      </c>
      <c r="G12" s="90" t="s">
        <v>49</v>
      </c>
      <c r="H12" s="90" t="s">
        <v>49</v>
      </c>
      <c r="I12" s="90" t="s">
        <v>47</v>
      </c>
      <c r="J12" s="90" t="s">
        <v>48</v>
      </c>
      <c r="K12" s="90" t="s">
        <v>113</v>
      </c>
      <c r="L12" s="90" t="s">
        <v>49</v>
      </c>
      <c r="M12" s="90" t="s">
        <v>49</v>
      </c>
      <c r="O12" s="114" t="s">
        <v>112</v>
      </c>
      <c r="P12" s="114"/>
    </row>
    <row r="13" spans="1:16" x14ac:dyDescent="0.3">
      <c r="A13" s="2">
        <v>10</v>
      </c>
      <c r="B13" s="91" t="s">
        <v>47</v>
      </c>
      <c r="C13" s="90" t="s">
        <v>113</v>
      </c>
      <c r="D13" s="90" t="s">
        <v>49</v>
      </c>
      <c r="E13" s="90" t="s">
        <v>48</v>
      </c>
      <c r="F13" s="90" t="s">
        <v>47</v>
      </c>
      <c r="G13" s="90" t="s">
        <v>49</v>
      </c>
      <c r="H13" s="90" t="s">
        <v>48</v>
      </c>
      <c r="I13" s="90" t="s">
        <v>48</v>
      </c>
      <c r="J13" s="90" t="s">
        <v>49</v>
      </c>
      <c r="K13" s="91" t="s">
        <v>47</v>
      </c>
      <c r="L13" s="90" t="s">
        <v>49</v>
      </c>
      <c r="M13" s="90" t="s">
        <v>49</v>
      </c>
      <c r="O13" s="88" t="s">
        <v>27</v>
      </c>
      <c r="P13" s="71">
        <f>6 - COUNTIF(B4:D34,"PERSONAL EXCP.")</f>
        <v>1</v>
      </c>
    </row>
    <row r="14" spans="1:16" x14ac:dyDescent="0.3">
      <c r="A14" s="2">
        <v>11</v>
      </c>
      <c r="B14" s="90" t="s">
        <v>47</v>
      </c>
      <c r="C14" s="90" t="s">
        <v>48</v>
      </c>
      <c r="D14" s="90" t="s">
        <v>49</v>
      </c>
      <c r="E14" s="91" t="s">
        <v>47</v>
      </c>
      <c r="F14" s="90" t="s">
        <v>49</v>
      </c>
      <c r="G14" s="90" t="s">
        <v>49</v>
      </c>
      <c r="H14" s="91" t="s">
        <v>47</v>
      </c>
      <c r="I14" s="90" t="s">
        <v>49</v>
      </c>
      <c r="J14" s="90" t="s">
        <v>49</v>
      </c>
      <c r="K14" s="90" t="s">
        <v>47</v>
      </c>
      <c r="L14" s="90" t="s">
        <v>49</v>
      </c>
      <c r="M14" s="90" t="s">
        <v>49</v>
      </c>
      <c r="O14" s="88" t="s">
        <v>28</v>
      </c>
      <c r="P14" s="71">
        <f>6 - COUNTIF(E4:G34,"PERSONAL EXCP.")</f>
        <v>0</v>
      </c>
    </row>
    <row r="15" spans="1:16" x14ac:dyDescent="0.3">
      <c r="A15" s="2">
        <v>12</v>
      </c>
      <c r="B15" s="90" t="s">
        <v>49</v>
      </c>
      <c r="C15" s="90" t="s">
        <v>113</v>
      </c>
      <c r="D15" s="90" t="s">
        <v>49</v>
      </c>
      <c r="E15" s="90" t="s">
        <v>47</v>
      </c>
      <c r="F15" s="90" t="s">
        <v>48</v>
      </c>
      <c r="G15" s="90" t="s">
        <v>48</v>
      </c>
      <c r="H15" s="90" t="s">
        <v>47</v>
      </c>
      <c r="I15" s="90" t="s">
        <v>49</v>
      </c>
      <c r="J15" s="91" t="s">
        <v>47</v>
      </c>
      <c r="K15" s="90" t="s">
        <v>113</v>
      </c>
      <c r="L15" s="90" t="s">
        <v>49</v>
      </c>
      <c r="M15" s="90" t="s">
        <v>49</v>
      </c>
      <c r="O15" s="88" t="s">
        <v>29</v>
      </c>
      <c r="P15" s="71">
        <f>6 - COUNTIF(H4:J34,"PERSONAL EXCP.")</f>
        <v>0</v>
      </c>
    </row>
    <row r="16" spans="1:16" x14ac:dyDescent="0.3">
      <c r="A16" s="2">
        <v>13</v>
      </c>
      <c r="B16" s="90" t="s">
        <v>49</v>
      </c>
      <c r="C16" s="90" t="s">
        <v>48</v>
      </c>
      <c r="D16" s="90" t="s">
        <v>49</v>
      </c>
      <c r="E16" s="90" t="s">
        <v>49</v>
      </c>
      <c r="F16" s="90" t="s">
        <v>49</v>
      </c>
      <c r="G16" s="91" t="s">
        <v>47</v>
      </c>
      <c r="H16" s="90" t="s">
        <v>49</v>
      </c>
      <c r="I16" s="90" t="s">
        <v>49</v>
      </c>
      <c r="J16" s="90" t="s">
        <v>47</v>
      </c>
      <c r="K16" s="90" t="s">
        <v>50</v>
      </c>
      <c r="L16" s="90" t="s">
        <v>49</v>
      </c>
      <c r="M16" s="90" t="s">
        <v>49</v>
      </c>
      <c r="O16" s="88" t="s">
        <v>30</v>
      </c>
      <c r="P16" s="71">
        <f>6 - COUNTIF(K4:M34,"PERSONAL EXCP.")</f>
        <v>0</v>
      </c>
    </row>
    <row r="17" spans="1:13" x14ac:dyDescent="0.3">
      <c r="A17" s="2">
        <v>14</v>
      </c>
      <c r="B17" s="90" t="s">
        <v>49</v>
      </c>
      <c r="C17" s="91" t="s">
        <v>47</v>
      </c>
      <c r="D17" s="91" t="s">
        <v>47</v>
      </c>
      <c r="E17" s="90" t="s">
        <v>52</v>
      </c>
      <c r="F17" s="90" t="s">
        <v>49</v>
      </c>
      <c r="G17" s="90" t="s">
        <v>47</v>
      </c>
      <c r="H17" s="90" t="s">
        <v>49</v>
      </c>
      <c r="I17" s="90" t="s">
        <v>50</v>
      </c>
      <c r="J17" s="90" t="s">
        <v>50</v>
      </c>
      <c r="K17" s="90" t="s">
        <v>49</v>
      </c>
      <c r="L17" s="90" t="s">
        <v>49</v>
      </c>
      <c r="M17" s="90" t="s">
        <v>49</v>
      </c>
    </row>
    <row r="18" spans="1:13" x14ac:dyDescent="0.3">
      <c r="A18" s="2">
        <v>15</v>
      </c>
      <c r="B18" s="90" t="s">
        <v>49</v>
      </c>
      <c r="C18" s="90" t="s">
        <v>47</v>
      </c>
      <c r="D18" s="90" t="s">
        <v>47</v>
      </c>
      <c r="E18" s="90" t="s">
        <v>46</v>
      </c>
      <c r="F18" s="90" t="s">
        <v>50</v>
      </c>
      <c r="G18" s="90" t="s">
        <v>49</v>
      </c>
      <c r="H18" s="90" t="s">
        <v>49</v>
      </c>
      <c r="I18" s="91" t="s">
        <v>47</v>
      </c>
      <c r="J18" s="90" t="s">
        <v>50</v>
      </c>
      <c r="K18" s="90" t="s">
        <v>49</v>
      </c>
      <c r="L18" s="90" t="s">
        <v>49</v>
      </c>
      <c r="M18" s="90" t="s">
        <v>49</v>
      </c>
    </row>
    <row r="19" spans="1:13" x14ac:dyDescent="0.3">
      <c r="A19" s="2">
        <v>16</v>
      </c>
      <c r="B19" s="90" t="s">
        <v>49</v>
      </c>
      <c r="C19" s="90" t="s">
        <v>49</v>
      </c>
      <c r="D19" s="90" t="s">
        <v>49</v>
      </c>
      <c r="E19" s="90" t="s">
        <v>49</v>
      </c>
      <c r="F19" s="91" t="s">
        <v>47</v>
      </c>
      <c r="G19" s="90" t="s">
        <v>49</v>
      </c>
      <c r="H19" s="90" t="s">
        <v>50</v>
      </c>
      <c r="I19" s="90" t="s">
        <v>47</v>
      </c>
      <c r="J19" s="90" t="s">
        <v>113</v>
      </c>
      <c r="K19" s="90" t="s">
        <v>49</v>
      </c>
      <c r="L19" s="90" t="s">
        <v>49</v>
      </c>
      <c r="M19" s="90" t="s">
        <v>49</v>
      </c>
    </row>
    <row r="20" spans="1:13" x14ac:dyDescent="0.3">
      <c r="A20" s="2">
        <v>17</v>
      </c>
      <c r="B20" s="90" t="s">
        <v>47</v>
      </c>
      <c r="C20" s="90" t="s">
        <v>50</v>
      </c>
      <c r="D20" s="90" t="s">
        <v>113</v>
      </c>
      <c r="E20" s="90" t="s">
        <v>49</v>
      </c>
      <c r="F20" s="90" t="s">
        <v>47</v>
      </c>
      <c r="G20" s="90" t="s">
        <v>49</v>
      </c>
      <c r="H20" s="90" t="s">
        <v>49</v>
      </c>
      <c r="I20" s="90" t="s">
        <v>49</v>
      </c>
      <c r="J20" s="90" t="s">
        <v>49</v>
      </c>
      <c r="K20" s="91" t="s">
        <v>47</v>
      </c>
      <c r="L20" s="90" t="s">
        <v>49</v>
      </c>
      <c r="M20" s="90" t="s">
        <v>49</v>
      </c>
    </row>
    <row r="21" spans="1:13" x14ac:dyDescent="0.3">
      <c r="A21" s="2">
        <v>18</v>
      </c>
      <c r="B21" s="90" t="s">
        <v>47</v>
      </c>
      <c r="C21" s="90" t="s">
        <v>49</v>
      </c>
      <c r="D21" s="90" t="s">
        <v>46</v>
      </c>
      <c r="E21" s="91" t="s">
        <v>47</v>
      </c>
      <c r="F21" s="90" t="s">
        <v>49</v>
      </c>
      <c r="G21" s="90" t="s">
        <v>49</v>
      </c>
      <c r="H21" s="91" t="s">
        <v>47</v>
      </c>
      <c r="I21" s="90" t="s">
        <v>49</v>
      </c>
      <c r="J21" s="90" t="s">
        <v>50</v>
      </c>
      <c r="K21" s="90" t="s">
        <v>47</v>
      </c>
      <c r="L21" s="90" t="s">
        <v>49</v>
      </c>
      <c r="M21" s="90" t="s">
        <v>49</v>
      </c>
    </row>
    <row r="22" spans="1:13" x14ac:dyDescent="0.3">
      <c r="A22" s="2">
        <v>19</v>
      </c>
      <c r="B22" s="90" t="s">
        <v>49</v>
      </c>
      <c r="C22" s="90" t="s">
        <v>49</v>
      </c>
      <c r="D22" s="90" t="s">
        <v>49</v>
      </c>
      <c r="E22" s="90" t="s">
        <v>47</v>
      </c>
      <c r="F22" s="90" t="s">
        <v>49</v>
      </c>
      <c r="G22" s="90" t="s">
        <v>48</v>
      </c>
      <c r="H22" s="90" t="s">
        <v>47</v>
      </c>
      <c r="I22" s="90" t="s">
        <v>49</v>
      </c>
      <c r="J22" s="91" t="s">
        <v>47</v>
      </c>
      <c r="K22" s="90" t="s">
        <v>49</v>
      </c>
      <c r="L22" s="90" t="s">
        <v>49</v>
      </c>
      <c r="M22" s="90" t="s">
        <v>49</v>
      </c>
    </row>
    <row r="23" spans="1:13" x14ac:dyDescent="0.3">
      <c r="A23" s="2">
        <v>20</v>
      </c>
      <c r="B23" s="90" t="s">
        <v>49</v>
      </c>
      <c r="C23" s="90" t="s">
        <v>49</v>
      </c>
      <c r="D23" s="90" t="s">
        <v>49</v>
      </c>
      <c r="E23" s="90" t="s">
        <v>49</v>
      </c>
      <c r="F23" s="90" t="s">
        <v>49</v>
      </c>
      <c r="G23" s="91" t="s">
        <v>47</v>
      </c>
      <c r="H23" s="90" t="s">
        <v>48</v>
      </c>
      <c r="I23" s="90" t="s">
        <v>49</v>
      </c>
      <c r="J23" s="90" t="s">
        <v>47</v>
      </c>
      <c r="K23" s="90" t="s">
        <v>52</v>
      </c>
      <c r="L23" s="90" t="s">
        <v>49</v>
      </c>
      <c r="M23" s="90" t="s">
        <v>49</v>
      </c>
    </row>
    <row r="24" spans="1:13" x14ac:dyDescent="0.3">
      <c r="A24" s="2">
        <v>21</v>
      </c>
      <c r="B24" s="90" t="s">
        <v>49</v>
      </c>
      <c r="C24" s="91" t="s">
        <v>47</v>
      </c>
      <c r="D24" s="91" t="s">
        <v>47</v>
      </c>
      <c r="E24" s="90" t="s">
        <v>49</v>
      </c>
      <c r="F24" s="90" t="s">
        <v>49</v>
      </c>
      <c r="G24" s="90" t="s">
        <v>47</v>
      </c>
      <c r="H24" s="90" t="s">
        <v>49</v>
      </c>
      <c r="I24" s="90" t="s">
        <v>48</v>
      </c>
      <c r="J24" s="90" t="s">
        <v>46</v>
      </c>
      <c r="K24" s="90" t="s">
        <v>49</v>
      </c>
      <c r="L24" s="90" t="s">
        <v>49</v>
      </c>
      <c r="M24" s="90" t="s">
        <v>49</v>
      </c>
    </row>
    <row r="25" spans="1:13" x14ac:dyDescent="0.3">
      <c r="A25" s="2">
        <v>22</v>
      </c>
      <c r="B25" s="90" t="s">
        <v>49</v>
      </c>
      <c r="C25" s="90" t="s">
        <v>47</v>
      </c>
      <c r="D25" s="90" t="s">
        <v>47</v>
      </c>
      <c r="E25" s="90" t="s">
        <v>49</v>
      </c>
      <c r="F25" s="90" t="s">
        <v>48</v>
      </c>
      <c r="G25" s="90" t="s">
        <v>49</v>
      </c>
      <c r="H25" s="90" t="s">
        <v>49</v>
      </c>
      <c r="I25" s="91" t="s">
        <v>47</v>
      </c>
      <c r="J25" s="90" t="s">
        <v>46</v>
      </c>
      <c r="K25" s="90" t="s">
        <v>49</v>
      </c>
      <c r="L25" s="90" t="s">
        <v>49</v>
      </c>
      <c r="M25" s="90" t="s">
        <v>49</v>
      </c>
    </row>
    <row r="26" spans="1:13" x14ac:dyDescent="0.3">
      <c r="A26" s="2">
        <v>23</v>
      </c>
      <c r="B26" s="90" t="s">
        <v>50</v>
      </c>
      <c r="C26" s="90" t="s">
        <v>50</v>
      </c>
      <c r="D26" s="90" t="s">
        <v>49</v>
      </c>
      <c r="E26" s="90" t="s">
        <v>48</v>
      </c>
      <c r="F26" s="91" t="s">
        <v>47</v>
      </c>
      <c r="G26" s="90" t="s">
        <v>113</v>
      </c>
      <c r="H26" s="90" t="s">
        <v>49</v>
      </c>
      <c r="I26" s="90" t="s">
        <v>47</v>
      </c>
      <c r="J26" s="90" t="s">
        <v>48</v>
      </c>
      <c r="K26" s="90" t="s">
        <v>49</v>
      </c>
      <c r="L26" s="90" t="s">
        <v>49</v>
      </c>
      <c r="M26" s="90" t="s">
        <v>49</v>
      </c>
    </row>
    <row r="27" spans="1:13" x14ac:dyDescent="0.3">
      <c r="A27" s="2">
        <v>24</v>
      </c>
      <c r="B27" s="90" t="s">
        <v>47</v>
      </c>
      <c r="C27" s="90" t="s">
        <v>50</v>
      </c>
      <c r="D27" s="90" t="s">
        <v>113</v>
      </c>
      <c r="E27" s="90" t="s">
        <v>49</v>
      </c>
      <c r="F27" s="90" t="s">
        <v>47</v>
      </c>
      <c r="G27" s="90" t="s">
        <v>113</v>
      </c>
      <c r="H27" s="90" t="s">
        <v>49</v>
      </c>
      <c r="I27" s="90" t="s">
        <v>49</v>
      </c>
      <c r="J27" s="90" t="s">
        <v>49</v>
      </c>
      <c r="K27" s="91" t="s">
        <v>47</v>
      </c>
      <c r="L27" s="90" t="s">
        <v>49</v>
      </c>
      <c r="M27" s="90" t="s">
        <v>49</v>
      </c>
    </row>
    <row r="28" spans="1:13" x14ac:dyDescent="0.3">
      <c r="A28" s="2">
        <v>25</v>
      </c>
      <c r="B28" s="90" t="s">
        <v>47</v>
      </c>
      <c r="C28" s="90" t="s">
        <v>49</v>
      </c>
      <c r="D28" s="90" t="s">
        <v>113</v>
      </c>
      <c r="E28" s="91" t="s">
        <v>47</v>
      </c>
      <c r="F28" s="90" t="s">
        <v>49</v>
      </c>
      <c r="G28" s="90" t="s">
        <v>113</v>
      </c>
      <c r="H28" s="91" t="s">
        <v>47</v>
      </c>
      <c r="I28" s="90" t="s">
        <v>50</v>
      </c>
      <c r="J28" s="90" t="s">
        <v>113</v>
      </c>
      <c r="K28" s="90" t="s">
        <v>47</v>
      </c>
      <c r="L28" s="90" t="s">
        <v>49</v>
      </c>
      <c r="M28" s="90" t="s">
        <v>52</v>
      </c>
    </row>
    <row r="29" spans="1:13" x14ac:dyDescent="0.3">
      <c r="A29" s="2">
        <v>26</v>
      </c>
      <c r="B29" s="90" t="s">
        <v>52</v>
      </c>
      <c r="C29" s="90" t="s">
        <v>49</v>
      </c>
      <c r="D29" s="90" t="s">
        <v>49</v>
      </c>
      <c r="E29" s="90" t="s">
        <v>47</v>
      </c>
      <c r="F29" s="90" t="s">
        <v>49</v>
      </c>
      <c r="G29" s="90" t="s">
        <v>113</v>
      </c>
      <c r="H29" s="90" t="s">
        <v>47</v>
      </c>
      <c r="I29" s="90" t="s">
        <v>49</v>
      </c>
      <c r="J29" s="91" t="s">
        <v>47</v>
      </c>
      <c r="K29" s="90" t="s">
        <v>49</v>
      </c>
      <c r="L29" s="90" t="s">
        <v>49</v>
      </c>
      <c r="M29" s="90" t="s">
        <v>49</v>
      </c>
    </row>
    <row r="30" spans="1:13" x14ac:dyDescent="0.3">
      <c r="A30" s="2">
        <v>27</v>
      </c>
      <c r="B30" s="90" t="s">
        <v>49</v>
      </c>
      <c r="C30" s="90" t="s">
        <v>49</v>
      </c>
      <c r="D30" s="90" t="s">
        <v>49</v>
      </c>
      <c r="E30" s="90" t="s">
        <v>49</v>
      </c>
      <c r="F30" s="90" t="s">
        <v>49</v>
      </c>
      <c r="G30" s="91" t="s">
        <v>47</v>
      </c>
      <c r="H30" s="90" t="s">
        <v>49</v>
      </c>
      <c r="I30" s="90" t="s">
        <v>49</v>
      </c>
      <c r="J30" s="90" t="s">
        <v>47</v>
      </c>
      <c r="K30" s="90" t="s">
        <v>49</v>
      </c>
      <c r="L30" s="90" t="s">
        <v>49</v>
      </c>
      <c r="M30" s="90" t="s">
        <v>49</v>
      </c>
    </row>
    <row r="31" spans="1:13" x14ac:dyDescent="0.3">
      <c r="A31" s="2">
        <v>28</v>
      </c>
      <c r="B31" s="90" t="s">
        <v>49</v>
      </c>
      <c r="C31" s="91" t="s">
        <v>47</v>
      </c>
      <c r="D31" s="91" t="s">
        <v>47</v>
      </c>
      <c r="E31" s="90" t="s">
        <v>48</v>
      </c>
      <c r="F31" s="90" t="s">
        <v>52</v>
      </c>
      <c r="G31" s="90" t="s">
        <v>47</v>
      </c>
      <c r="H31" s="90" t="s">
        <v>49</v>
      </c>
      <c r="I31" s="90" t="s">
        <v>52</v>
      </c>
      <c r="J31" s="90" t="s">
        <v>113</v>
      </c>
      <c r="K31" s="90" t="s">
        <v>49</v>
      </c>
      <c r="L31" s="90" t="s">
        <v>49</v>
      </c>
      <c r="M31" s="90" t="s">
        <v>49</v>
      </c>
    </row>
    <row r="32" spans="1:13" x14ac:dyDescent="0.3">
      <c r="A32" s="2">
        <v>29</v>
      </c>
      <c r="B32" s="90" t="s">
        <v>49</v>
      </c>
      <c r="C32" s="89" t="s">
        <v>56</v>
      </c>
      <c r="D32" s="90" t="s">
        <v>47</v>
      </c>
      <c r="E32" s="90" t="s">
        <v>49</v>
      </c>
      <c r="F32" s="90" t="s">
        <v>49</v>
      </c>
      <c r="G32" s="90" t="s">
        <v>113</v>
      </c>
      <c r="H32" s="90" t="s">
        <v>49</v>
      </c>
      <c r="I32" s="91" t="s">
        <v>47</v>
      </c>
      <c r="J32" s="90" t="s">
        <v>113</v>
      </c>
      <c r="K32" s="90" t="s">
        <v>49</v>
      </c>
      <c r="L32" s="90" t="s">
        <v>49</v>
      </c>
      <c r="M32" s="90" t="s">
        <v>49</v>
      </c>
    </row>
    <row r="33" spans="1:13" x14ac:dyDescent="0.3">
      <c r="A33" s="2">
        <v>30</v>
      </c>
      <c r="B33" s="90" t="s">
        <v>49</v>
      </c>
      <c r="C33" s="89" t="s">
        <v>56</v>
      </c>
      <c r="D33" s="90" t="s">
        <v>49</v>
      </c>
      <c r="E33" s="90" t="s">
        <v>49</v>
      </c>
      <c r="F33" s="91" t="s">
        <v>47</v>
      </c>
      <c r="G33" s="90" t="s">
        <v>113</v>
      </c>
      <c r="H33" s="90" t="s">
        <v>49</v>
      </c>
      <c r="I33" s="90" t="s">
        <v>47</v>
      </c>
      <c r="J33" s="90" t="s">
        <v>113</v>
      </c>
      <c r="K33" s="90" t="s">
        <v>49</v>
      </c>
      <c r="L33" s="90" t="s">
        <v>49</v>
      </c>
      <c r="M33" s="90" t="s">
        <v>49</v>
      </c>
    </row>
    <row r="34" spans="1:13" x14ac:dyDescent="0.3">
      <c r="A34" s="2">
        <v>31</v>
      </c>
      <c r="B34" s="90" t="s">
        <v>47</v>
      </c>
      <c r="C34" s="89" t="s">
        <v>56</v>
      </c>
      <c r="D34" s="90" t="s">
        <v>49</v>
      </c>
      <c r="E34" s="89" t="s">
        <v>56</v>
      </c>
      <c r="F34" s="90" t="s">
        <v>47</v>
      </c>
      <c r="G34" s="89" t="s">
        <v>56</v>
      </c>
      <c r="H34" s="90" t="s">
        <v>48</v>
      </c>
      <c r="I34" s="90" t="s">
        <v>49</v>
      </c>
      <c r="J34" s="89" t="s">
        <v>56</v>
      </c>
      <c r="K34" s="91" t="s">
        <v>47</v>
      </c>
      <c r="L34" s="89" t="s">
        <v>56</v>
      </c>
      <c r="M34" s="90" t="s">
        <v>49</v>
      </c>
    </row>
    <row r="35" spans="1:13" ht="18.75" customHeight="1" x14ac:dyDescent="0.3">
      <c r="A35" s="18" t="s">
        <v>57</v>
      </c>
      <c r="B35" s="3">
        <f t="shared" ref="B35:I35" si="0">31-COUNTIF(B$3:B$34,"WEEKEND")-COUNTIF(B$3:B$34,"HOLIDAY")</f>
        <v>21</v>
      </c>
      <c r="C35" s="3">
        <f>28-COUNTIF(C$3:C$34,"WEEKEND")-COUNTIF(C$3:C$34,"HOLIDAY")</f>
        <v>20</v>
      </c>
      <c r="D35" s="3">
        <f t="shared" si="0"/>
        <v>21</v>
      </c>
      <c r="E35" s="3">
        <f>30-COUNTIF(E$3:E$34,"WEEKEND")-COUNTIF(E$3:E$34,"HOLIDAY")</f>
        <v>21</v>
      </c>
      <c r="F35" s="3">
        <f t="shared" si="0"/>
        <v>20</v>
      </c>
      <c r="G35" s="3">
        <f>30-COUNTIF(G$3:G$34,"WEEKEND")-COUNTIF(G$3:G$34,"HOLIDAY")</f>
        <v>22</v>
      </c>
      <c r="H35" s="3">
        <f t="shared" si="0"/>
        <v>23</v>
      </c>
      <c r="I35" s="3">
        <f t="shared" si="0"/>
        <v>20</v>
      </c>
      <c r="J35" s="3">
        <f>30-COUNTIF(J$3:J$34,"WEEKEND")-COUNTIF(J$3:J$34,"HOLIDAY")</f>
        <v>22</v>
      </c>
      <c r="K35" s="3">
        <f>31-COUNTIF(K$3:K$34,"WEEKEND")-COUNTIF(K$3:K$34,"HOLIDAY")</f>
        <v>20</v>
      </c>
      <c r="L35" s="3">
        <f t="shared" ref="L35" si="1">30-COUNTIF(L$3:L$34,"WEEKEND")-COUNTIF(L$3:L$34,"HOLIDAY")</f>
        <v>30</v>
      </c>
      <c r="M35" s="3">
        <f>31-COUNTIF(M$3:M$34,"WEEKEND")-COUNTIF(M$3:M$34,"HOLIDAY")</f>
        <v>30</v>
      </c>
    </row>
    <row r="36" spans="1:13" x14ac:dyDescent="0.3">
      <c r="A36" s="18" t="s">
        <v>49</v>
      </c>
      <c r="B36" s="3">
        <f t="shared" ref="B36:H36" si="2">COUNTIF(B4:B34,$A36)</f>
        <v>18</v>
      </c>
      <c r="C36" s="3">
        <f>COUNTIF(C4:C34,$A36)</f>
        <v>7</v>
      </c>
      <c r="D36" s="3">
        <f t="shared" si="2"/>
        <v>15</v>
      </c>
      <c r="E36" s="3">
        <f t="shared" si="2"/>
        <v>16</v>
      </c>
      <c r="F36" s="3">
        <f t="shared" si="2"/>
        <v>16</v>
      </c>
      <c r="G36" s="3">
        <f t="shared" si="2"/>
        <v>13</v>
      </c>
      <c r="H36" s="3">
        <f t="shared" si="2"/>
        <v>18</v>
      </c>
      <c r="I36" s="3">
        <f>COUNTIF(I4:I34,$A36)</f>
        <v>14</v>
      </c>
      <c r="J36" s="3">
        <f t="shared" ref="J36:M36" si="3">COUNTIF(J4:J34,$A36)</f>
        <v>8</v>
      </c>
      <c r="K36" s="3">
        <f>COUNTIF(K4:K34,$A36)</f>
        <v>13</v>
      </c>
      <c r="L36" s="3">
        <f t="shared" si="3"/>
        <v>30</v>
      </c>
      <c r="M36" s="3">
        <f t="shared" si="3"/>
        <v>30</v>
      </c>
    </row>
    <row r="37" spans="1:13" x14ac:dyDescent="0.3">
      <c r="A37" s="18" t="s">
        <v>46</v>
      </c>
      <c r="B37" s="3">
        <f>COUNTIF(B$4:B$34,$A$37) + COUNTIF(B$4:B$34, "PERSONAL EXCP.")</f>
        <v>0</v>
      </c>
      <c r="C37" s="3">
        <f>COUNTIF(C$4:C$34,$A$37) + COUNTIF(C$4:C$34, "PERSONAL EXCP.")</f>
        <v>2</v>
      </c>
      <c r="D37" s="3">
        <f t="shared" ref="D37:M37" si="4">COUNTIF(D$4:D$34,$A$37) + COUNTIF(D$4:D$34, "PERSONAL EXCP.")</f>
        <v>4</v>
      </c>
      <c r="E37" s="3">
        <f t="shared" si="4"/>
        <v>1</v>
      </c>
      <c r="F37" s="3">
        <f t="shared" si="4"/>
        <v>0</v>
      </c>
      <c r="G37" s="3">
        <f t="shared" si="4"/>
        <v>6</v>
      </c>
      <c r="H37" s="3">
        <f t="shared" si="4"/>
        <v>0</v>
      </c>
      <c r="I37" s="3">
        <f t="shared" si="4"/>
        <v>0</v>
      </c>
      <c r="J37" s="3">
        <f t="shared" si="4"/>
        <v>8</v>
      </c>
      <c r="K37" s="3">
        <f>COUNTIF(K$4:K$34,$A$37) + COUNTIF(K$4:K$34, "PERSONAL EXCP.")</f>
        <v>6</v>
      </c>
      <c r="L37" s="3">
        <f t="shared" si="4"/>
        <v>0</v>
      </c>
      <c r="M37" s="3">
        <f t="shared" si="4"/>
        <v>0</v>
      </c>
    </row>
    <row r="38" spans="1:13" x14ac:dyDescent="0.3">
      <c r="A38" s="18" t="s">
        <v>48</v>
      </c>
      <c r="B38" s="3">
        <f t="shared" ref="B38:G38" si="5">COUNTIF(B$4:B$34,$A$38)</f>
        <v>2</v>
      </c>
      <c r="C38" s="3">
        <f t="shared" si="5"/>
        <v>3</v>
      </c>
      <c r="D38" s="3">
        <f t="shared" si="5"/>
        <v>2</v>
      </c>
      <c r="E38" s="3">
        <f t="shared" si="5"/>
        <v>3</v>
      </c>
      <c r="F38" s="3">
        <f t="shared" si="5"/>
        <v>3</v>
      </c>
      <c r="G38" s="3">
        <f t="shared" si="5"/>
        <v>3</v>
      </c>
      <c r="H38" s="3">
        <f t="shared" ref="H38:M38" si="6">COUNTIF(H$4:H$34,$A$38)</f>
        <v>4</v>
      </c>
      <c r="I38" s="3">
        <f t="shared" si="6"/>
        <v>3</v>
      </c>
      <c r="J38" s="3">
        <f t="shared" si="6"/>
        <v>2</v>
      </c>
      <c r="K38" s="3">
        <f t="shared" si="6"/>
        <v>0</v>
      </c>
      <c r="L38" s="3">
        <f t="shared" si="6"/>
        <v>0</v>
      </c>
      <c r="M38" s="3">
        <f t="shared" si="6"/>
        <v>0</v>
      </c>
    </row>
    <row r="39" spans="1:13" ht="15" thickBot="1" x14ac:dyDescent="0.35">
      <c r="A39" s="18" t="s">
        <v>50</v>
      </c>
      <c r="B39" s="80">
        <f t="shared" ref="B39:D39" si="7">COUNTIF(B$4:B$34,$A39)</f>
        <v>1</v>
      </c>
      <c r="C39" s="80">
        <f>COUNTIF(C$4:C$34,$A39)</f>
        <v>8</v>
      </c>
      <c r="D39" s="80">
        <f t="shared" si="7"/>
        <v>0</v>
      </c>
      <c r="E39" s="80">
        <f>COUNTIF(E$4:E$34,$A39)</f>
        <v>1</v>
      </c>
      <c r="F39" s="80">
        <f t="shared" ref="F39:M39" si="8">COUNTIF(F$4:F$34,$A39)</f>
        <v>1</v>
      </c>
      <c r="G39" s="80">
        <f t="shared" si="8"/>
        <v>0</v>
      </c>
      <c r="H39" s="80">
        <f t="shared" si="8"/>
        <v>1</v>
      </c>
      <c r="I39" s="80">
        <f t="shared" si="8"/>
        <v>3</v>
      </c>
      <c r="J39" s="80">
        <f t="shared" si="8"/>
        <v>4</v>
      </c>
      <c r="K39" s="80">
        <f>COUNTIF(K$4:K$34,$A39)</f>
        <v>1</v>
      </c>
      <c r="L39" s="80">
        <f t="shared" si="8"/>
        <v>0</v>
      </c>
      <c r="M39" s="80">
        <f t="shared" si="8"/>
        <v>0</v>
      </c>
    </row>
    <row r="40" spans="1:13" x14ac:dyDescent="0.3">
      <c r="A40" s="79" t="s">
        <v>58</v>
      </c>
      <c r="B40" s="101">
        <f>SUM(B$36:B$37,B39)/B$35</f>
        <v>0.90476190476190477</v>
      </c>
      <c r="C40" s="102">
        <f t="shared" ref="C40:M40" si="9">SUM(C$36:C$37,C39)/C$35</f>
        <v>0.85</v>
      </c>
      <c r="D40" s="103">
        <f t="shared" si="9"/>
        <v>0.90476190476190477</v>
      </c>
      <c r="E40" s="101">
        <f t="shared" si="9"/>
        <v>0.8571428571428571</v>
      </c>
      <c r="F40" s="102">
        <f t="shared" si="9"/>
        <v>0.85</v>
      </c>
      <c r="G40" s="103">
        <f t="shared" si="9"/>
        <v>0.86363636363636365</v>
      </c>
      <c r="H40" s="101">
        <f t="shared" si="9"/>
        <v>0.82608695652173914</v>
      </c>
      <c r="I40" s="102">
        <f t="shared" si="9"/>
        <v>0.85</v>
      </c>
      <c r="J40" s="103">
        <f t="shared" si="9"/>
        <v>0.90909090909090906</v>
      </c>
      <c r="K40" s="101">
        <f>SUM(K$36:K$37,K39)/K$35</f>
        <v>1</v>
      </c>
      <c r="L40" s="102">
        <f t="shared" si="9"/>
        <v>1</v>
      </c>
      <c r="M40" s="103">
        <f t="shared" si="9"/>
        <v>1</v>
      </c>
    </row>
    <row r="41" spans="1:13" ht="15" thickBot="1" x14ac:dyDescent="0.35">
      <c r="A41" s="79" t="s">
        <v>59</v>
      </c>
      <c r="B41" s="117">
        <f>AVERAGE(B40:D40)</f>
        <v>0.88650793650793647</v>
      </c>
      <c r="C41" s="118"/>
      <c r="D41" s="119"/>
      <c r="E41" s="117">
        <f>AVERAGE(E40:G40)</f>
        <v>0.85692640692640687</v>
      </c>
      <c r="F41" s="118"/>
      <c r="G41" s="119"/>
      <c r="H41" s="117">
        <f t="shared" ref="H41" si="10">AVERAGE(H40:J40)</f>
        <v>0.86172595520421602</v>
      </c>
      <c r="I41" s="118"/>
      <c r="J41" s="119"/>
      <c r="K41" s="117">
        <f t="shared" ref="K41" si="11">AVERAGE(K40:M40)</f>
        <v>1</v>
      </c>
      <c r="L41" s="118"/>
      <c r="M41" s="119"/>
    </row>
    <row r="42" spans="1:13" x14ac:dyDescent="0.3">
      <c r="A42" s="18" t="s">
        <v>60</v>
      </c>
      <c r="B42" s="3">
        <f>ROUND(B$35*(1-0.85),0)</f>
        <v>3</v>
      </c>
      <c r="C42" s="3">
        <f t="shared" ref="C42:M42" si="12">ROUND(C$35*(1-0.85),0)</f>
        <v>3</v>
      </c>
      <c r="D42" s="3">
        <f t="shared" si="12"/>
        <v>3</v>
      </c>
      <c r="E42" s="3">
        <f t="shared" si="12"/>
        <v>3</v>
      </c>
      <c r="F42" s="3">
        <f t="shared" si="12"/>
        <v>3</v>
      </c>
      <c r="G42" s="3">
        <f t="shared" si="12"/>
        <v>3</v>
      </c>
      <c r="H42" s="3">
        <f t="shared" si="12"/>
        <v>3</v>
      </c>
      <c r="I42" s="3">
        <f>ROUND(I$35*(1-0.85),0)</f>
        <v>3</v>
      </c>
      <c r="J42" s="3">
        <f t="shared" si="12"/>
        <v>3</v>
      </c>
      <c r="K42" s="3">
        <f t="shared" si="12"/>
        <v>3</v>
      </c>
      <c r="L42" s="3">
        <f t="shared" si="12"/>
        <v>5</v>
      </c>
      <c r="M42" s="3">
        <f t="shared" si="12"/>
        <v>5</v>
      </c>
    </row>
    <row r="43" spans="1:13" x14ac:dyDescent="0.3">
      <c r="E43" s="20"/>
    </row>
  </sheetData>
  <mergeCells count="11">
    <mergeCell ref="O12:P12"/>
    <mergeCell ref="B41:D41"/>
    <mergeCell ref="E41:G41"/>
    <mergeCell ref="H41:J41"/>
    <mergeCell ref="K41:M41"/>
    <mergeCell ref="B1:M1"/>
    <mergeCell ref="O1:P2"/>
    <mergeCell ref="B2:D2"/>
    <mergeCell ref="E2:G2"/>
    <mergeCell ref="H2:J2"/>
    <mergeCell ref="K2:M2"/>
  </mergeCells>
  <conditionalFormatting sqref="B38:M38">
    <cfRule type="cellIs" dxfId="60" priority="31" operator="greaterThan">
      <formula>$B$42</formula>
    </cfRule>
    <cfRule type="cellIs" dxfId="59" priority="32" operator="equal">
      <formula>$B$42</formula>
    </cfRule>
    <cfRule type="cellIs" dxfId="58" priority="33" operator="lessThan">
      <formula>$B$42</formula>
    </cfRule>
  </conditionalFormatting>
  <conditionalFormatting sqref="B40:M40">
    <cfRule type="cellIs" dxfId="57" priority="28" operator="greaterThan">
      <formula>90%</formula>
    </cfRule>
    <cfRule type="cellIs" dxfId="56" priority="29" operator="between">
      <formula>85%</formula>
      <formula>90%</formula>
    </cfRule>
    <cfRule type="cellIs" dxfId="55" priority="30" operator="lessThan">
      <formula>85%</formula>
    </cfRule>
  </conditionalFormatting>
  <conditionalFormatting sqref="B41:M41">
    <cfRule type="cellIs" dxfId="54" priority="25" operator="lessThan">
      <formula>0.85</formula>
    </cfRule>
    <cfRule type="cellIs" dxfId="53" priority="26" operator="greaterThanOrEqual">
      <formula>0.9</formula>
    </cfRule>
    <cfRule type="cellIs" dxfId="52" priority="27" operator="between">
      <formula>0.85</formula>
      <formula>0.9</formula>
    </cfRule>
  </conditionalFormatting>
  <conditionalFormatting sqref="O4:P7 B4:M34 O9:P9">
    <cfRule type="containsText" dxfId="51" priority="17" operator="containsText" text="PERSONAL EXCP.">
      <formula>NOT(ISERROR(SEARCH("PERSONAL EXCP.",B4)))</formula>
    </cfRule>
    <cfRule type="containsText" dxfId="50" priority="34" operator="containsText" text="HOLIDAY">
      <formula>NOT(ISERROR(SEARCH("HOLIDAY",B4)))</formula>
    </cfRule>
    <cfRule type="containsText" dxfId="49" priority="35" operator="containsText" text="WFH">
      <formula>NOT(ISERROR(SEARCH("WFH",B4)))</formula>
    </cfRule>
    <cfRule type="containsText" dxfId="48" priority="36" operator="containsText" text="WEEKEND">
      <formula>NOT(ISERROR(SEARCH("WEEKEND",B4)))</formula>
    </cfRule>
    <cfRule type="containsText" dxfId="47" priority="37" operator="containsText" text="WFO">
      <formula>NOT(ISERROR(SEARCH("WFO",B4)))</formula>
    </cfRule>
    <cfRule type="containsText" dxfId="46" priority="38" operator="containsText" text="NA">
      <formula>NOT(ISERROR(SEARCH("NA",B4)))</formula>
    </cfRule>
    <cfRule type="containsText" dxfId="45" priority="39" operator="containsText" text="LEAVE">
      <formula>NOT(ISERROR(SEARCH("LEAVE",B4)))</formula>
    </cfRule>
    <cfRule type="containsText" dxfId="44" priority="40" operator="containsText" text="EXCEPTION">
      <formula>NOT(ISERROR(SEARCH("EXCEPTION",B4)))</formula>
    </cfRule>
  </conditionalFormatting>
  <conditionalFormatting sqref="O13:P16">
    <cfRule type="containsText" dxfId="43" priority="18" operator="containsText" text="HOLIDAY">
      <formula>NOT(ISERROR(SEARCH("HOLIDAY",O13)))</formula>
    </cfRule>
    <cfRule type="containsText" dxfId="42" priority="19" operator="containsText" text="WFH">
      <formula>NOT(ISERROR(SEARCH("WFH",O13)))</formula>
    </cfRule>
    <cfRule type="containsText" dxfId="41" priority="20" operator="containsText" text="WEEKEND">
      <formula>NOT(ISERROR(SEARCH("WEEKEND",O13)))</formula>
    </cfRule>
    <cfRule type="containsText" dxfId="40" priority="21" operator="containsText" text="WFO">
      <formula>NOT(ISERROR(SEARCH("WFO",O13)))</formula>
    </cfRule>
    <cfRule type="containsText" dxfId="39" priority="22" operator="containsText" text="NA">
      <formula>NOT(ISERROR(SEARCH("NA",O13)))</formula>
    </cfRule>
    <cfRule type="containsText" dxfId="38" priority="23" operator="containsText" text="LEAVE">
      <formula>NOT(ISERROR(SEARCH("LEAVE",O13)))</formula>
    </cfRule>
    <cfRule type="containsText" dxfId="37" priority="24" operator="containsText" text="EXCEPTION">
      <formula>NOT(ISERROR(SEARCH("EXCEPTION",O13)))</formula>
    </cfRule>
  </conditionalFormatting>
  <conditionalFormatting sqref="P8">
    <cfRule type="containsText" dxfId="36" priority="1" operator="containsText" text="PERSONAL EXCP.">
      <formula>NOT(ISERROR(SEARCH("PERSONAL EXCP.",P8)))</formula>
    </cfRule>
    <cfRule type="containsText" dxfId="35" priority="2" operator="containsText" text="HOLIDAY">
      <formula>NOT(ISERROR(SEARCH("HOLIDAY",P8)))</formula>
    </cfRule>
    <cfRule type="containsText" dxfId="34" priority="3" operator="containsText" text="WFH">
      <formula>NOT(ISERROR(SEARCH("WFH",P8)))</formula>
    </cfRule>
    <cfRule type="containsText" dxfId="33" priority="4" operator="containsText" text="WEEKEND">
      <formula>NOT(ISERROR(SEARCH("WEEKEND",P8)))</formula>
    </cfRule>
    <cfRule type="containsText" dxfId="32" priority="5" operator="containsText" text="WFO">
      <formula>NOT(ISERROR(SEARCH("WFO",P8)))</formula>
    </cfRule>
    <cfRule type="containsText" dxfId="31" priority="6" operator="containsText" text="NA">
      <formula>NOT(ISERROR(SEARCH("NA",P8)))</formula>
    </cfRule>
    <cfRule type="containsText" dxfId="30" priority="7" operator="containsText" text="LEAVE">
      <formula>NOT(ISERROR(SEARCH("LEAVE",P8)))</formula>
    </cfRule>
    <cfRule type="containsText" dxfId="29" priority="8" operator="containsText" text="EXCEPTION">
      <formula>NOT(ISERROR(SEARCH("EXCEPTION",P8)))</formula>
    </cfRule>
  </conditionalFormatting>
  <dataValidations count="1">
    <dataValidation type="list" allowBlank="1" showInputMessage="1" showErrorMessage="1" sqref="B4:M34" xr:uid="{2C4CF9E2-5FD1-45EE-B4A3-70A6DAA19C13}">
      <formula1>"WFO,WFH,NO SHOW, LEAVE, NO ALLOCATION, WEEKEND, NA, EXCEPTION,HOLIDAY, PERSONAL EXCP."</formula1>
    </dataValidation>
  </dataValidations>
  <pageMargins left="0.7" right="0.7" top="0.75" bottom="0.75" header="0.3" footer="0.3"/>
  <ignoredErrors>
    <ignoredError sqref="C35:J35 L35:M3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0C98-DF2F-4421-9A83-9385EE3BC277}">
  <sheetPr>
    <tabColor rgb="FF0070C0"/>
  </sheetPr>
  <dimension ref="A1:A18"/>
  <sheetViews>
    <sheetView workbookViewId="0">
      <selection activeCell="A19" sqref="A19"/>
    </sheetView>
  </sheetViews>
  <sheetFormatPr defaultRowHeight="14.4" x14ac:dyDescent="0.3"/>
  <cols>
    <col min="1" max="1" width="24.6640625" bestFit="1" customWidth="1"/>
  </cols>
  <sheetData>
    <row r="1" spans="1:1" x14ac:dyDescent="0.3">
      <c r="A1" t="s">
        <v>131</v>
      </c>
    </row>
    <row r="2" spans="1:1" x14ac:dyDescent="0.3">
      <c r="A2" t="s">
        <v>132</v>
      </c>
    </row>
    <row r="3" spans="1:1" x14ac:dyDescent="0.3">
      <c r="A3" t="s">
        <v>133</v>
      </c>
    </row>
    <row r="4" spans="1:1" x14ac:dyDescent="0.3">
      <c r="A4" t="s">
        <v>134</v>
      </c>
    </row>
    <row r="5" spans="1:1" x14ac:dyDescent="0.3">
      <c r="A5" t="s">
        <v>135</v>
      </c>
    </row>
    <row r="6" spans="1:1" x14ac:dyDescent="0.3">
      <c r="A6" t="s">
        <v>136</v>
      </c>
    </row>
    <row r="7" spans="1:1" x14ac:dyDescent="0.3">
      <c r="A7" t="s">
        <v>137</v>
      </c>
    </row>
    <row r="8" spans="1:1" x14ac:dyDescent="0.3">
      <c r="A8" t="s">
        <v>138</v>
      </c>
    </row>
    <row r="9" spans="1:1" x14ac:dyDescent="0.3">
      <c r="A9" t="s">
        <v>139</v>
      </c>
    </row>
    <row r="10" spans="1:1" x14ac:dyDescent="0.3">
      <c r="A10" t="s">
        <v>140</v>
      </c>
    </row>
    <row r="11" spans="1:1" x14ac:dyDescent="0.3">
      <c r="A11" t="s">
        <v>141</v>
      </c>
    </row>
    <row r="12" spans="1:1" x14ac:dyDescent="0.3">
      <c r="A12" t="s">
        <v>135</v>
      </c>
    </row>
    <row r="13" spans="1:1" x14ac:dyDescent="0.3">
      <c r="A13" t="s">
        <v>142</v>
      </c>
    </row>
    <row r="14" spans="1:1" x14ac:dyDescent="0.3">
      <c r="A14" t="s">
        <v>143</v>
      </c>
    </row>
    <row r="15" spans="1:1" x14ac:dyDescent="0.3">
      <c r="A15" t="s">
        <v>144</v>
      </c>
    </row>
    <row r="16" spans="1:1" x14ac:dyDescent="0.3">
      <c r="A16" t="s">
        <v>145</v>
      </c>
    </row>
    <row r="17" spans="1:1" x14ac:dyDescent="0.3">
      <c r="A17" t="s">
        <v>146</v>
      </c>
    </row>
    <row r="18" spans="1:1" x14ac:dyDescent="0.3">
      <c r="A18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0D37-84A6-4E38-BE0F-4BF05C6BB587}">
  <sheetPr>
    <tabColor rgb="FF0070C0"/>
  </sheetPr>
  <dimension ref="A1:P23"/>
  <sheetViews>
    <sheetView topLeftCell="D1" zoomScale="110" zoomScaleNormal="110" workbookViewId="0">
      <selection activeCell="J23" sqref="J23"/>
    </sheetView>
  </sheetViews>
  <sheetFormatPr defaultRowHeight="14.4" x14ac:dyDescent="0.3"/>
  <cols>
    <col min="1" max="1" width="29.6640625" bestFit="1" customWidth="1"/>
    <col min="2" max="9" width="12.44140625" style="44" bestFit="1" customWidth="1"/>
    <col min="10" max="13" width="12.44140625" style="44" customWidth="1"/>
    <col min="15" max="16" width="11.5546875" bestFit="1" customWidth="1"/>
  </cols>
  <sheetData>
    <row r="1" spans="1:16" x14ac:dyDescent="0.3">
      <c r="A1" s="120">
        <v>2026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</row>
    <row r="2" spans="1:16" x14ac:dyDescent="0.3">
      <c r="A2" s="46" t="s">
        <v>61</v>
      </c>
      <c r="B2" s="46" t="s">
        <v>32</v>
      </c>
      <c r="C2" s="46" t="s">
        <v>33</v>
      </c>
      <c r="D2" s="46" t="s">
        <v>34</v>
      </c>
      <c r="E2" s="46" t="s">
        <v>35</v>
      </c>
      <c r="F2" s="46" t="s">
        <v>36</v>
      </c>
      <c r="G2" s="46" t="s">
        <v>37</v>
      </c>
      <c r="H2" s="46" t="s">
        <v>38</v>
      </c>
      <c r="I2" s="46" t="s">
        <v>39</v>
      </c>
      <c r="J2" s="46" t="s">
        <v>40</v>
      </c>
      <c r="K2" s="46" t="s">
        <v>41</v>
      </c>
      <c r="L2" s="46" t="s">
        <v>62</v>
      </c>
      <c r="M2" s="46" t="s">
        <v>43</v>
      </c>
    </row>
    <row r="3" spans="1:16" x14ac:dyDescent="0.3">
      <c r="A3" s="48" t="s">
        <v>63</v>
      </c>
      <c r="B3" s="78">
        <v>16800</v>
      </c>
      <c r="C3" s="78">
        <v>16800</v>
      </c>
      <c r="D3" s="78">
        <v>16800</v>
      </c>
      <c r="E3" s="78">
        <v>16800</v>
      </c>
      <c r="F3" s="78">
        <v>16800</v>
      </c>
      <c r="G3" s="78">
        <v>17400</v>
      </c>
      <c r="H3" s="78">
        <v>17400</v>
      </c>
      <c r="I3" s="78">
        <v>17400</v>
      </c>
      <c r="J3" s="78">
        <v>17400</v>
      </c>
      <c r="K3" s="44">
        <v>17400</v>
      </c>
      <c r="L3" s="44">
        <v>17400</v>
      </c>
      <c r="M3" s="44">
        <v>17400</v>
      </c>
      <c r="O3" s="44"/>
      <c r="P3" s="44"/>
    </row>
    <row r="4" spans="1:16" x14ac:dyDescent="0.3">
      <c r="A4" s="48" t="s">
        <v>64</v>
      </c>
      <c r="B4" s="78">
        <v>8400</v>
      </c>
      <c r="C4" s="78">
        <v>8400</v>
      </c>
      <c r="D4" s="78">
        <v>8400</v>
      </c>
      <c r="E4" s="78">
        <v>8400</v>
      </c>
      <c r="F4" s="78">
        <v>8400</v>
      </c>
      <c r="G4" s="78">
        <v>5722</v>
      </c>
      <c r="H4" s="78">
        <v>5722</v>
      </c>
      <c r="I4" s="78">
        <v>5722</v>
      </c>
      <c r="J4" s="78">
        <v>5722</v>
      </c>
      <c r="K4" s="44">
        <v>5722</v>
      </c>
      <c r="L4" s="44">
        <v>5722</v>
      </c>
      <c r="M4" s="44">
        <v>5722</v>
      </c>
      <c r="O4" s="44"/>
      <c r="P4" s="44"/>
    </row>
    <row r="5" spans="1:16" x14ac:dyDescent="0.3">
      <c r="A5" s="48" t="s">
        <v>65</v>
      </c>
      <c r="B5" s="78">
        <v>1400</v>
      </c>
      <c r="C5" s="78">
        <v>1400</v>
      </c>
      <c r="D5" s="78">
        <v>1400</v>
      </c>
      <c r="E5" s="78">
        <v>1400</v>
      </c>
      <c r="F5" s="78">
        <v>1400</v>
      </c>
      <c r="G5" s="78">
        <v>0</v>
      </c>
      <c r="H5" s="78">
        <v>0</v>
      </c>
      <c r="I5" s="78">
        <v>0</v>
      </c>
      <c r="J5" s="78">
        <v>0</v>
      </c>
      <c r="K5" s="44">
        <v>0</v>
      </c>
      <c r="L5" s="44">
        <v>0</v>
      </c>
      <c r="M5" s="44">
        <v>0</v>
      </c>
      <c r="O5" s="44"/>
      <c r="P5" s="44"/>
    </row>
    <row r="6" spans="1:16" x14ac:dyDescent="0.3">
      <c r="A6" s="48" t="s">
        <v>66</v>
      </c>
      <c r="B6" s="78">
        <v>4686</v>
      </c>
      <c r="C6" s="78">
        <v>4686</v>
      </c>
      <c r="D6" s="78">
        <v>4686</v>
      </c>
      <c r="E6" s="78">
        <v>4686</v>
      </c>
      <c r="F6" s="78">
        <v>4686</v>
      </c>
      <c r="G6" s="78">
        <v>5757</v>
      </c>
      <c r="H6" s="78">
        <v>5757</v>
      </c>
      <c r="I6" s="78">
        <v>5757</v>
      </c>
      <c r="J6" s="78">
        <v>5757</v>
      </c>
      <c r="K6" s="44">
        <v>5757</v>
      </c>
      <c r="L6" s="44">
        <v>5757</v>
      </c>
      <c r="M6" s="44">
        <v>5757</v>
      </c>
      <c r="O6" s="44"/>
      <c r="P6" s="44"/>
    </row>
    <row r="7" spans="1:16" x14ac:dyDescent="0.3">
      <c r="A7" s="112" t="s">
        <v>67</v>
      </c>
      <c r="B7" s="78">
        <f>SUM(B19:B21)</f>
        <v>7810</v>
      </c>
      <c r="C7" s="78">
        <f>SUM(C19:C21)</f>
        <v>910</v>
      </c>
      <c r="D7" s="78">
        <f>SUM(D19:D21)</f>
        <v>13128</v>
      </c>
      <c r="E7" s="78">
        <f>SUM(E19:E21)</f>
        <v>7810</v>
      </c>
      <c r="F7" s="78">
        <f>SUM(F19:F21)</f>
        <v>910</v>
      </c>
      <c r="G7" s="78">
        <f t="shared" ref="G7:M7" si="0">SUM(G18:G21)</f>
        <v>20608</v>
      </c>
      <c r="H7" s="78">
        <f t="shared" si="0"/>
        <v>12922</v>
      </c>
      <c r="I7" s="78">
        <f t="shared" si="0"/>
        <v>5722</v>
      </c>
      <c r="J7" s="78">
        <f t="shared" si="0"/>
        <v>5722</v>
      </c>
      <c r="K7" s="44">
        <f t="shared" si="0"/>
        <v>5722</v>
      </c>
      <c r="L7" s="44">
        <f t="shared" si="0"/>
        <v>5722</v>
      </c>
      <c r="M7" s="44">
        <f t="shared" si="0"/>
        <v>5722</v>
      </c>
    </row>
    <row r="8" spans="1:16" x14ac:dyDescent="0.3">
      <c r="A8" s="48" t="s">
        <v>68</v>
      </c>
      <c r="B8" s="78">
        <v>1200</v>
      </c>
      <c r="C8" s="78">
        <v>1200</v>
      </c>
      <c r="D8" s="78">
        <v>1200</v>
      </c>
      <c r="E8" s="78">
        <v>1200</v>
      </c>
      <c r="F8" s="78">
        <v>1200</v>
      </c>
      <c r="G8" s="78">
        <v>1200</v>
      </c>
      <c r="H8" s="78">
        <v>1200</v>
      </c>
      <c r="I8" s="78">
        <v>1200</v>
      </c>
      <c r="J8" s="78">
        <v>1200</v>
      </c>
      <c r="K8" s="44">
        <v>1200</v>
      </c>
      <c r="L8" s="44">
        <v>1200</v>
      </c>
      <c r="M8" s="44">
        <v>1200</v>
      </c>
      <c r="O8" s="44"/>
    </row>
    <row r="9" spans="1:16" x14ac:dyDescent="0.3">
      <c r="A9" s="48" t="s">
        <v>69</v>
      </c>
      <c r="B9" s="78">
        <v>3000</v>
      </c>
      <c r="C9" s="78">
        <v>3000</v>
      </c>
      <c r="D9" s="78">
        <v>3000</v>
      </c>
      <c r="E9" s="78">
        <v>3000</v>
      </c>
      <c r="F9" s="78">
        <v>3000</v>
      </c>
      <c r="G9" s="78">
        <v>3300</v>
      </c>
      <c r="H9" s="78">
        <v>3300</v>
      </c>
      <c r="I9" s="78">
        <v>3300</v>
      </c>
      <c r="J9" s="78">
        <v>3300</v>
      </c>
      <c r="K9" s="44">
        <v>3300</v>
      </c>
      <c r="L9" s="44">
        <v>3300</v>
      </c>
      <c r="M9" s="44">
        <v>3300</v>
      </c>
      <c r="O9" s="44"/>
      <c r="P9" s="44"/>
    </row>
    <row r="10" spans="1:16" x14ac:dyDescent="0.3">
      <c r="A10" s="47" t="s">
        <v>70</v>
      </c>
      <c r="B10" s="78">
        <f t="shared" ref="B10:L10" si="1">SUM(B3:B9)</f>
        <v>43296</v>
      </c>
      <c r="C10" s="78">
        <f t="shared" si="1"/>
        <v>36396</v>
      </c>
      <c r="D10" s="78">
        <f t="shared" si="1"/>
        <v>48614</v>
      </c>
      <c r="E10" s="78">
        <f t="shared" si="1"/>
        <v>43296</v>
      </c>
      <c r="F10" s="78">
        <f t="shared" si="1"/>
        <v>36396</v>
      </c>
      <c r="G10" s="78">
        <f t="shared" si="1"/>
        <v>53987</v>
      </c>
      <c r="H10" s="78">
        <f t="shared" si="1"/>
        <v>46301</v>
      </c>
      <c r="I10" s="78">
        <f t="shared" si="1"/>
        <v>39101</v>
      </c>
      <c r="J10" s="78">
        <f t="shared" si="1"/>
        <v>39101</v>
      </c>
      <c r="K10" s="44">
        <f t="shared" si="1"/>
        <v>39101</v>
      </c>
      <c r="L10" s="44">
        <f t="shared" si="1"/>
        <v>39101</v>
      </c>
      <c r="M10" s="44">
        <f>SUM(M3:M9)</f>
        <v>39101</v>
      </c>
    </row>
    <row r="11" spans="1:16" x14ac:dyDescent="0.3">
      <c r="A11" s="46" t="s">
        <v>71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6" x14ac:dyDescent="0.3">
      <c r="A12" s="49" t="s">
        <v>72</v>
      </c>
      <c r="B12" s="78">
        <v>2016</v>
      </c>
      <c r="C12" s="78">
        <v>2016</v>
      </c>
      <c r="D12" s="78">
        <v>2016</v>
      </c>
      <c r="E12" s="78">
        <v>2016</v>
      </c>
      <c r="F12" s="78">
        <v>2016</v>
      </c>
      <c r="G12" s="78">
        <f xml:space="preserve"> 2088</f>
        <v>2088</v>
      </c>
      <c r="H12" s="78">
        <v>2088</v>
      </c>
      <c r="I12" s="78">
        <v>2088</v>
      </c>
      <c r="J12" s="78">
        <v>2088</v>
      </c>
      <c r="K12" s="44">
        <v>2088</v>
      </c>
      <c r="L12" s="44">
        <v>2088</v>
      </c>
      <c r="M12" s="44">
        <v>2088</v>
      </c>
      <c r="O12" s="44"/>
      <c r="P12" s="44"/>
    </row>
    <row r="13" spans="1:16" x14ac:dyDescent="0.3">
      <c r="A13" s="49" t="s">
        <v>73</v>
      </c>
      <c r="B13" s="78">
        <v>0</v>
      </c>
      <c r="C13" s="78">
        <v>0</v>
      </c>
      <c r="D13" s="78">
        <v>0</v>
      </c>
      <c r="E13" s="78">
        <v>0</v>
      </c>
      <c r="F13" s="78">
        <v>0</v>
      </c>
      <c r="G13" s="78">
        <v>0.75</v>
      </c>
      <c r="H13" s="78">
        <v>0</v>
      </c>
      <c r="I13" s="78">
        <v>0</v>
      </c>
      <c r="J13" s="78">
        <v>0</v>
      </c>
      <c r="K13" s="44">
        <v>0</v>
      </c>
      <c r="L13" s="44">
        <v>0</v>
      </c>
      <c r="M13" s="44">
        <v>0</v>
      </c>
    </row>
    <row r="14" spans="1:16" x14ac:dyDescent="0.3">
      <c r="A14" s="49" t="s">
        <v>103</v>
      </c>
      <c r="B14" s="78"/>
      <c r="C14" s="78"/>
      <c r="D14" s="78"/>
      <c r="E14" s="78"/>
      <c r="F14" s="78">
        <v>1699</v>
      </c>
      <c r="G14" s="78">
        <v>1699</v>
      </c>
      <c r="H14" s="78"/>
      <c r="I14" s="78"/>
      <c r="J14" s="78"/>
    </row>
    <row r="15" spans="1:16" x14ac:dyDescent="0.3">
      <c r="A15" s="49" t="s">
        <v>74</v>
      </c>
      <c r="B15" s="78">
        <v>0</v>
      </c>
      <c r="C15" s="78">
        <v>0</v>
      </c>
      <c r="D15" s="78">
        <v>0</v>
      </c>
      <c r="E15" s="78">
        <v>250</v>
      </c>
      <c r="F15" s="78"/>
      <c r="G15" s="78">
        <f>5856 +2800 + 820 + 144</f>
        <v>9620</v>
      </c>
      <c r="H15" s="78">
        <v>0</v>
      </c>
      <c r="I15" s="78">
        <v>0</v>
      </c>
      <c r="J15" s="78">
        <v>0</v>
      </c>
      <c r="K15" s="44">
        <v>0</v>
      </c>
      <c r="L15" s="44">
        <v>0</v>
      </c>
      <c r="M15" s="44">
        <v>0</v>
      </c>
    </row>
    <row r="16" spans="1:16" x14ac:dyDescent="0.3">
      <c r="A16" s="50" t="s">
        <v>75</v>
      </c>
      <c r="B16" s="78">
        <f>SUM(B12:B15)</f>
        <v>2016</v>
      </c>
      <c r="C16" s="78">
        <f t="shared" ref="C16:M16" si="2">SUM(C12:C15)</f>
        <v>2016</v>
      </c>
      <c r="D16" s="78">
        <f t="shared" si="2"/>
        <v>2016</v>
      </c>
      <c r="E16" s="78">
        <f t="shared" si="2"/>
        <v>2266</v>
      </c>
      <c r="F16" s="78">
        <f t="shared" si="2"/>
        <v>3715</v>
      </c>
      <c r="G16" s="78">
        <f t="shared" si="2"/>
        <v>13407.75</v>
      </c>
      <c r="H16" s="78">
        <f t="shared" si="2"/>
        <v>2088</v>
      </c>
      <c r="I16" s="78">
        <f t="shared" si="2"/>
        <v>2088</v>
      </c>
      <c r="J16" s="78">
        <f t="shared" si="2"/>
        <v>2088</v>
      </c>
      <c r="K16" s="44">
        <f t="shared" si="2"/>
        <v>2088</v>
      </c>
      <c r="L16" s="44">
        <f t="shared" si="2"/>
        <v>2088</v>
      </c>
      <c r="M16" s="44">
        <f t="shared" si="2"/>
        <v>2088</v>
      </c>
    </row>
    <row r="17" spans="1:16" x14ac:dyDescent="0.3">
      <c r="A17" s="46" t="s">
        <v>67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</row>
    <row r="18" spans="1:16" x14ac:dyDescent="0.3">
      <c r="A18" s="51" t="s">
        <v>129</v>
      </c>
      <c r="B18" s="78">
        <v>0</v>
      </c>
      <c r="C18" s="78">
        <v>0</v>
      </c>
      <c r="D18" s="78">
        <v>0</v>
      </c>
      <c r="E18" s="78">
        <v>0</v>
      </c>
      <c r="F18" s="78">
        <v>0</v>
      </c>
      <c r="G18" s="78">
        <v>5722</v>
      </c>
      <c r="H18" s="78">
        <v>5722</v>
      </c>
      <c r="I18" s="78">
        <v>5722</v>
      </c>
      <c r="J18" s="78">
        <v>5722</v>
      </c>
      <c r="K18" s="44">
        <v>5722</v>
      </c>
      <c r="L18" s="44">
        <v>5722</v>
      </c>
      <c r="M18" s="44">
        <v>5722</v>
      </c>
      <c r="O18" s="44"/>
      <c r="P18" s="44"/>
    </row>
    <row r="19" spans="1:16" x14ac:dyDescent="0.3">
      <c r="A19" s="51" t="s">
        <v>76</v>
      </c>
      <c r="B19" s="78">
        <v>410</v>
      </c>
      <c r="C19" s="78">
        <v>410</v>
      </c>
      <c r="D19" s="78">
        <v>410</v>
      </c>
      <c r="E19" s="78">
        <v>410</v>
      </c>
      <c r="F19" s="78">
        <v>410</v>
      </c>
      <c r="G19" s="78">
        <v>0</v>
      </c>
      <c r="H19" s="78">
        <v>0</v>
      </c>
      <c r="I19" s="78">
        <v>0</v>
      </c>
      <c r="J19" s="78">
        <v>0</v>
      </c>
      <c r="K19" s="44">
        <v>0</v>
      </c>
      <c r="L19" s="44">
        <v>0</v>
      </c>
      <c r="M19" s="44">
        <v>0</v>
      </c>
      <c r="O19" s="44"/>
      <c r="P19" s="44"/>
    </row>
    <row r="20" spans="1:16" x14ac:dyDescent="0.3">
      <c r="A20" s="51" t="s">
        <v>77</v>
      </c>
      <c r="B20" s="78">
        <v>500</v>
      </c>
      <c r="C20" s="78">
        <v>500</v>
      </c>
      <c r="D20" s="78">
        <v>500</v>
      </c>
      <c r="E20" s="78">
        <v>500</v>
      </c>
      <c r="F20" s="78">
        <v>500</v>
      </c>
      <c r="G20" s="78"/>
      <c r="H20" s="78">
        <v>0</v>
      </c>
      <c r="I20" s="78">
        <v>0</v>
      </c>
      <c r="J20" s="78">
        <v>0</v>
      </c>
      <c r="K20" s="44">
        <v>0</v>
      </c>
      <c r="L20" s="44">
        <v>0</v>
      </c>
      <c r="M20" s="44">
        <v>0</v>
      </c>
      <c r="O20" s="44"/>
      <c r="P20" s="44"/>
    </row>
    <row r="21" spans="1:16" x14ac:dyDescent="0.3">
      <c r="A21" s="51" t="s">
        <v>78</v>
      </c>
      <c r="B21" s="78">
        <v>6900</v>
      </c>
      <c r="C21" s="78">
        <v>0</v>
      </c>
      <c r="D21" s="78">
        <v>12218</v>
      </c>
      <c r="E21" s="78">
        <v>6900</v>
      </c>
      <c r="F21" s="78">
        <v>0</v>
      </c>
      <c r="G21" s="78">
        <f>600 + 1200 + 2142 + 10944</f>
        <v>14886</v>
      </c>
      <c r="H21" s="78">
        <v>7200</v>
      </c>
      <c r="I21" s="78">
        <v>0</v>
      </c>
      <c r="J21" s="78">
        <v>0</v>
      </c>
      <c r="K21" s="44">
        <v>0</v>
      </c>
      <c r="L21" s="44">
        <v>0</v>
      </c>
      <c r="M21" s="44">
        <v>0</v>
      </c>
    </row>
    <row r="22" spans="1:16" x14ac:dyDescent="0.3">
      <c r="A22" s="5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O22" s="44"/>
    </row>
    <row r="23" spans="1:16" x14ac:dyDescent="0.3">
      <c r="A23" s="52" t="s">
        <v>79</v>
      </c>
      <c r="B23" s="78">
        <f t="shared" ref="B23:L23" si="3">B10-B16</f>
        <v>41280</v>
      </c>
      <c r="C23" s="78">
        <f t="shared" si="3"/>
        <v>34380</v>
      </c>
      <c r="D23" s="78">
        <f t="shared" si="3"/>
        <v>46598</v>
      </c>
      <c r="E23" s="78">
        <f t="shared" si="3"/>
        <v>41030</v>
      </c>
      <c r="F23" s="78">
        <f t="shared" si="3"/>
        <v>32681</v>
      </c>
      <c r="G23" s="78">
        <f>G10-G16</f>
        <v>40579.25</v>
      </c>
      <c r="H23" s="78">
        <f t="shared" si="3"/>
        <v>44213</v>
      </c>
      <c r="I23" s="78">
        <f t="shared" si="3"/>
        <v>37013</v>
      </c>
      <c r="J23" s="78">
        <f t="shared" si="3"/>
        <v>37013</v>
      </c>
      <c r="K23" s="44">
        <f t="shared" si="3"/>
        <v>37013</v>
      </c>
      <c r="L23" s="44">
        <f t="shared" si="3"/>
        <v>37013</v>
      </c>
      <c r="M23" s="44">
        <f>M10-M16</f>
        <v>37013</v>
      </c>
    </row>
  </sheetData>
  <mergeCells count="1">
    <mergeCell ref="A1:M1"/>
  </mergeCells>
  <conditionalFormatting sqref="B7:J7">
    <cfRule type="cellIs" dxfId="28" priority="6" operator="greaterThan">
      <formula>910</formula>
    </cfRule>
  </conditionalFormatting>
  <conditionalFormatting sqref="B13:M15">
    <cfRule type="cellIs" dxfId="27" priority="5" operator="greaterThan">
      <formula>0</formula>
    </cfRule>
  </conditionalFormatting>
  <conditionalFormatting sqref="G16:M16">
    <cfRule type="cellIs" dxfId="26" priority="2" operator="greaterThan">
      <formula>2088</formula>
    </cfRule>
  </conditionalFormatting>
  <conditionalFormatting sqref="K7:M7">
    <cfRule type="cellIs" dxfId="25" priority="1" operator="greaterThan">
      <formula>5722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79D9-A931-41CB-9CC4-A6BDB3FAD9A8}">
  <sheetPr>
    <tabColor rgb="FF00B0F0"/>
  </sheetPr>
  <dimension ref="A1:H25"/>
  <sheetViews>
    <sheetView workbookViewId="0">
      <pane xSplit="1" ySplit="2" topLeftCell="B3" activePane="bottomRight" state="frozen"/>
      <selection pane="topRight"/>
      <selection pane="bottomLeft"/>
      <selection pane="bottomRight" activeCell="D22" sqref="D22"/>
    </sheetView>
  </sheetViews>
  <sheetFormatPr defaultRowHeight="14.4" x14ac:dyDescent="0.3"/>
  <cols>
    <col min="1" max="1" width="24.6640625" customWidth="1"/>
    <col min="2" max="2" width="19.33203125" customWidth="1"/>
    <col min="3" max="3" width="19.109375" customWidth="1"/>
    <col min="4" max="4" width="21.21875" customWidth="1"/>
    <col min="5" max="5" width="17.44140625" customWidth="1"/>
    <col min="7" max="7" width="11.33203125" bestFit="1" customWidth="1"/>
    <col min="8" max="8" width="12.77734375" bestFit="1" customWidth="1"/>
  </cols>
  <sheetData>
    <row r="1" spans="1:8" x14ac:dyDescent="0.3">
      <c r="A1" s="1"/>
      <c r="B1" s="121" t="s">
        <v>84</v>
      </c>
      <c r="C1" s="121"/>
      <c r="D1" s="121" t="s">
        <v>114</v>
      </c>
      <c r="E1" s="121"/>
    </row>
    <row r="2" spans="1:8" x14ac:dyDescent="0.3">
      <c r="A2" s="5" t="s">
        <v>85</v>
      </c>
      <c r="B2" s="19" t="s">
        <v>92</v>
      </c>
      <c r="C2" s="19" t="s">
        <v>93</v>
      </c>
      <c r="D2" s="92" t="s">
        <v>115</v>
      </c>
      <c r="E2" s="92" t="s">
        <v>116</v>
      </c>
    </row>
    <row r="3" spans="1:8" x14ac:dyDescent="0.3">
      <c r="A3" s="4" t="s">
        <v>63</v>
      </c>
      <c r="B3" s="28">
        <v>201600</v>
      </c>
      <c r="C3" s="28">
        <f>ROUND(B3/12,2)</f>
        <v>16800</v>
      </c>
      <c r="D3" s="93">
        <v>208800</v>
      </c>
      <c r="E3" s="93">
        <f>ROUND(D3/12,2)</f>
        <v>17400</v>
      </c>
    </row>
    <row r="4" spans="1:8" x14ac:dyDescent="0.3">
      <c r="A4" s="4" t="s">
        <v>68</v>
      </c>
      <c r="B4" s="28">
        <v>14400</v>
      </c>
      <c r="C4" s="28">
        <f t="shared" ref="C4:C14" si="0">ROUND(B4/12,2)</f>
        <v>1200</v>
      </c>
      <c r="D4" s="93">
        <v>14400</v>
      </c>
      <c r="E4" s="93">
        <f t="shared" ref="E4:E14" si="1">ROUND(D4/12,2)</f>
        <v>1200</v>
      </c>
    </row>
    <row r="5" spans="1:8" x14ac:dyDescent="0.3">
      <c r="A5" s="4" t="s">
        <v>69</v>
      </c>
      <c r="B5" s="28">
        <v>36000</v>
      </c>
      <c r="C5" s="28">
        <f t="shared" si="0"/>
        <v>3000</v>
      </c>
      <c r="D5" s="93">
        <v>39600</v>
      </c>
      <c r="E5" s="93">
        <f t="shared" si="1"/>
        <v>3300</v>
      </c>
    </row>
    <row r="6" spans="1:8" x14ac:dyDescent="0.3">
      <c r="A6" s="4" t="s">
        <v>95</v>
      </c>
      <c r="B6" s="28">
        <v>27600</v>
      </c>
      <c r="C6" s="28">
        <f t="shared" si="0"/>
        <v>2300</v>
      </c>
      <c r="D6" s="93">
        <v>28800</v>
      </c>
      <c r="E6" s="93">
        <f t="shared" si="1"/>
        <v>2400</v>
      </c>
    </row>
    <row r="7" spans="1:8" x14ac:dyDescent="0.3">
      <c r="A7" s="4" t="s">
        <v>96</v>
      </c>
      <c r="B7" s="28">
        <v>100800</v>
      </c>
      <c r="C7" s="28">
        <f t="shared" si="0"/>
        <v>8400</v>
      </c>
      <c r="D7" s="93">
        <v>137328</v>
      </c>
      <c r="E7" s="93">
        <f t="shared" si="1"/>
        <v>11444</v>
      </c>
      <c r="H7" s="106"/>
    </row>
    <row r="8" spans="1:8" x14ac:dyDescent="0.3">
      <c r="A8" s="4" t="s">
        <v>97</v>
      </c>
      <c r="B8" s="28">
        <v>16800</v>
      </c>
      <c r="C8" s="28">
        <f t="shared" si="0"/>
        <v>1400</v>
      </c>
      <c r="D8" s="93">
        <v>0</v>
      </c>
      <c r="E8" s="93">
        <f t="shared" si="1"/>
        <v>0</v>
      </c>
    </row>
    <row r="9" spans="1:8" x14ac:dyDescent="0.3">
      <c r="A9" s="4" t="s">
        <v>98</v>
      </c>
      <c r="B9" s="28">
        <v>6000</v>
      </c>
      <c r="C9" s="28">
        <f t="shared" si="0"/>
        <v>500</v>
      </c>
      <c r="D9" s="93">
        <v>0</v>
      </c>
      <c r="E9" s="93">
        <f t="shared" si="1"/>
        <v>0</v>
      </c>
    </row>
    <row r="10" spans="1:8" x14ac:dyDescent="0.3">
      <c r="A10" s="4" t="s">
        <v>99</v>
      </c>
      <c r="B10" s="28">
        <v>4920</v>
      </c>
      <c r="C10" s="28">
        <f t="shared" si="0"/>
        <v>410</v>
      </c>
      <c r="D10" s="93">
        <v>0</v>
      </c>
      <c r="E10" s="93">
        <f t="shared" si="1"/>
        <v>0</v>
      </c>
      <c r="H10" s="44"/>
    </row>
    <row r="11" spans="1:8" x14ac:dyDescent="0.3">
      <c r="A11" s="4" t="s">
        <v>100</v>
      </c>
      <c r="B11" s="28">
        <v>56232</v>
      </c>
      <c r="C11" s="28">
        <f t="shared" si="0"/>
        <v>4686</v>
      </c>
      <c r="D11" s="93">
        <v>69084</v>
      </c>
      <c r="E11" s="93">
        <f t="shared" si="1"/>
        <v>5757</v>
      </c>
    </row>
    <row r="12" spans="1:8" x14ac:dyDescent="0.3">
      <c r="A12" s="4" t="s">
        <v>101</v>
      </c>
      <c r="B12" s="34">
        <v>24192</v>
      </c>
      <c r="C12" s="34">
        <f t="shared" si="0"/>
        <v>2016</v>
      </c>
      <c r="D12" s="94">
        <v>25056</v>
      </c>
      <c r="E12" s="94">
        <f t="shared" si="1"/>
        <v>2088</v>
      </c>
    </row>
    <row r="13" spans="1:8" x14ac:dyDescent="0.3">
      <c r="A13" s="4" t="s">
        <v>102</v>
      </c>
      <c r="B13" s="34">
        <v>9697</v>
      </c>
      <c r="C13" s="34">
        <f t="shared" si="0"/>
        <v>808.08</v>
      </c>
      <c r="D13" s="94">
        <v>0</v>
      </c>
      <c r="E13" s="94">
        <f t="shared" si="1"/>
        <v>0</v>
      </c>
      <c r="G13" s="44"/>
      <c r="H13" s="44"/>
    </row>
    <row r="14" spans="1:8" x14ac:dyDescent="0.3">
      <c r="A14" s="4" t="s">
        <v>103</v>
      </c>
      <c r="B14" s="34">
        <v>12330</v>
      </c>
      <c r="C14" s="34">
        <f t="shared" si="0"/>
        <v>1027.5</v>
      </c>
      <c r="D14" s="94">
        <v>12980</v>
      </c>
      <c r="E14" s="94">
        <f t="shared" si="1"/>
        <v>1081.67</v>
      </c>
    </row>
    <row r="15" spans="1:8" ht="15" thickBot="1" x14ac:dyDescent="0.35">
      <c r="H15" s="44"/>
    </row>
    <row r="16" spans="1:8" x14ac:dyDescent="0.3">
      <c r="A16" s="11" t="s">
        <v>104</v>
      </c>
      <c r="B16" s="35">
        <f t="shared" ref="B16:E16" si="2">SUM(B3:B14)</f>
        <v>510571</v>
      </c>
      <c r="C16" s="37">
        <f t="shared" si="2"/>
        <v>42547.58</v>
      </c>
      <c r="D16" s="35">
        <f t="shared" si="2"/>
        <v>536048</v>
      </c>
      <c r="E16" s="37">
        <f t="shared" si="2"/>
        <v>44670.67</v>
      </c>
    </row>
    <row r="17" spans="1:7" x14ac:dyDescent="0.3">
      <c r="A17" s="11" t="s">
        <v>124</v>
      </c>
      <c r="B17" s="104">
        <f>SUM($B$3,$B$7,$B$8,$B$11,$B$4,$B$5,$B$10,$B$9)</f>
        <v>436752</v>
      </c>
      <c r="C17" s="105">
        <f>SUM($C$3,$C$4,$C$7,$C$8,$C$9,$C$10,$C$11)</f>
        <v>33396</v>
      </c>
      <c r="D17" s="104">
        <f>SUM(D$3,D$4,D$5,D$7,D$11)</f>
        <v>469212</v>
      </c>
      <c r="E17" s="104">
        <f>SUM(E$3,E$4,E$5,E$7,E$11)</f>
        <v>39101</v>
      </c>
    </row>
    <row r="18" spans="1:7" x14ac:dyDescent="0.3">
      <c r="A18" s="11" t="s">
        <v>126</v>
      </c>
      <c r="B18" s="104">
        <f>SUM(B6,B12,B13,B14)</f>
        <v>73819</v>
      </c>
      <c r="C18" s="105">
        <f>SUM(C14,C13,C12,C6)</f>
        <v>6151.58</v>
      </c>
      <c r="D18" s="104">
        <f>SUM(D$6,D$12,D$14)</f>
        <v>66836</v>
      </c>
      <c r="E18" s="104">
        <f>SUM(E$6,E$12,E$14)</f>
        <v>5569.67</v>
      </c>
      <c r="G18" s="44"/>
    </row>
    <row r="19" spans="1:7" x14ac:dyDescent="0.3">
      <c r="A19" s="11" t="s">
        <v>105</v>
      </c>
      <c r="B19" s="38">
        <f>SUM(B$3:B$5,B$7:B$11)</f>
        <v>436752</v>
      </c>
      <c r="C19" s="38">
        <f>SUM(C$3:C$5,C$7:C$11)</f>
        <v>36396</v>
      </c>
      <c r="D19" s="104">
        <f>SUM(D$3,D$4,D$5,D$7,D$11)</f>
        <v>469212</v>
      </c>
      <c r="E19" s="104">
        <f>SUM(E$3,E$4,E$5,E$7,E$11)</f>
        <v>39101</v>
      </c>
      <c r="G19" s="44"/>
    </row>
    <row r="20" spans="1:7" x14ac:dyDescent="0.3">
      <c r="A20" s="11" t="s">
        <v>125</v>
      </c>
      <c r="B20" s="38">
        <f>SUM(B$3:B$11)</f>
        <v>464352</v>
      </c>
      <c r="C20" s="38">
        <f>SUM(C$3:C$11)</f>
        <v>38696</v>
      </c>
      <c r="D20" s="104">
        <f>SUM(D$3:D$7,D$11)</f>
        <v>498012</v>
      </c>
      <c r="E20" s="104">
        <f>SUM(E$3:E$7,E$11)</f>
        <v>41501</v>
      </c>
      <c r="G20" s="44"/>
    </row>
    <row r="21" spans="1:7" x14ac:dyDescent="0.3">
      <c r="A21" s="11" t="s">
        <v>106</v>
      </c>
      <c r="B21" s="38">
        <f>SUM(B$12)</f>
        <v>24192</v>
      </c>
      <c r="C21" s="38">
        <f>SUM(C$12)</f>
        <v>2016</v>
      </c>
      <c r="D21" s="38">
        <f>SUM(D$12)</f>
        <v>25056</v>
      </c>
      <c r="E21" s="38">
        <f>SUM(E$12)</f>
        <v>2088</v>
      </c>
    </row>
    <row r="22" spans="1:7" x14ac:dyDescent="0.3">
      <c r="A22" s="84" t="s">
        <v>107</v>
      </c>
      <c r="B22" s="85">
        <f xml:space="preserve"> B16 - 477011</f>
        <v>33560</v>
      </c>
      <c r="C22" s="86">
        <f>C16 - 39750.92</f>
        <v>2796.6600000000035</v>
      </c>
      <c r="D22" s="85">
        <f>D16-B16</f>
        <v>25477</v>
      </c>
      <c r="E22" s="85">
        <f>E16-C16</f>
        <v>2123.0899999999965</v>
      </c>
      <c r="G22" s="44"/>
    </row>
    <row r="23" spans="1:7" x14ac:dyDescent="0.3">
      <c r="A23" s="11" t="s">
        <v>108</v>
      </c>
      <c r="B23" s="38">
        <f>B$19-B$21</f>
        <v>412560</v>
      </c>
      <c r="C23" s="38">
        <f>C$19-C$21</f>
        <v>34380</v>
      </c>
      <c r="D23" s="38">
        <f>D$19-D$21</f>
        <v>444156</v>
      </c>
      <c r="E23" s="38">
        <f>E$19-E$21</f>
        <v>37013</v>
      </c>
    </row>
    <row r="24" spans="1:7" ht="15" thickBot="1" x14ac:dyDescent="0.35">
      <c r="A24" s="11" t="s">
        <v>110</v>
      </c>
      <c r="B24" s="108">
        <f>B23/B16</f>
        <v>0.8080364924760709</v>
      </c>
      <c r="C24" s="108">
        <f>C23/C16</f>
        <v>0.80803655578061073</v>
      </c>
      <c r="D24" s="107">
        <f>D23/D16</f>
        <v>0.82857505298033007</v>
      </c>
      <c r="E24" s="107">
        <f>E23/E16</f>
        <v>0.82857499115191247</v>
      </c>
    </row>
    <row r="25" spans="1:7" ht="15" thickBot="1" x14ac:dyDescent="0.35">
      <c r="A25" s="11" t="s">
        <v>127</v>
      </c>
      <c r="B25" s="107"/>
      <c r="C25" s="108"/>
      <c r="D25" s="107">
        <f>D22/B16</f>
        <v>4.9899034610269677E-2</v>
      </c>
      <c r="E25" s="107"/>
    </row>
  </sheetData>
  <mergeCells count="2">
    <mergeCell ref="B1:C1"/>
    <mergeCell ref="D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9B48-CC9E-4EDD-B0BA-62110F180D85}">
  <sheetPr>
    <tabColor rgb="FFE17AF2"/>
  </sheetPr>
  <dimension ref="A1"/>
  <sheetViews>
    <sheetView zoomScale="90" zoomScaleNormal="90" workbookViewId="0">
      <selection activeCell="AA47" sqref="AA4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4E37-7378-4BE9-B94C-4EDC75D7BA67}">
  <sheetPr>
    <tabColor rgb="FFFFC000"/>
  </sheetPr>
  <dimension ref="A1:P43"/>
  <sheetViews>
    <sheetView zoomScale="90" zoomScaleNormal="90" workbookViewId="0">
      <pane xSplit="1" ySplit="3" topLeftCell="C4" activePane="bottomRight" state="frozen"/>
      <selection pane="topRight"/>
      <selection pane="bottomLeft"/>
      <selection pane="bottomRight" activeCell="M26" sqref="M26"/>
    </sheetView>
  </sheetViews>
  <sheetFormatPr defaultColWidth="9.109375" defaultRowHeight="14.4" x14ac:dyDescent="0.3"/>
  <cols>
    <col min="1" max="1" width="24.44140625" style="2" bestFit="1" customWidth="1"/>
    <col min="2" max="3" width="15.44140625" style="2" bestFit="1" customWidth="1"/>
    <col min="4" max="4" width="14.88671875" style="2" customWidth="1"/>
    <col min="5" max="5" width="14.6640625" style="2" customWidth="1"/>
    <col min="6" max="6" width="13" style="2" customWidth="1"/>
    <col min="7" max="7" width="10.6640625" style="2" customWidth="1"/>
    <col min="8" max="8" width="15.88671875" style="2" bestFit="1" customWidth="1"/>
    <col min="9" max="9" width="11.6640625" style="2" customWidth="1"/>
    <col min="10" max="10" width="15.88671875" style="2" bestFit="1" customWidth="1"/>
    <col min="11" max="11" width="12.33203125" style="2" customWidth="1"/>
    <col min="12" max="12" width="12.44140625" style="2" customWidth="1"/>
    <col min="13" max="13" width="15.5546875" style="2" bestFit="1" customWidth="1"/>
    <col min="14" max="14" width="9.109375" style="2"/>
    <col min="15" max="15" width="18.109375" style="2" bestFit="1" customWidth="1"/>
    <col min="16" max="16384" width="9.109375" style="2"/>
  </cols>
  <sheetData>
    <row r="1" spans="1:16" x14ac:dyDescent="0.3">
      <c r="A1" s="2" t="s">
        <v>24</v>
      </c>
      <c r="B1" s="113">
        <v>2025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O1" s="114" t="s">
        <v>25</v>
      </c>
      <c r="P1" s="114"/>
    </row>
    <row r="2" spans="1:16" ht="15" thickBot="1" x14ac:dyDescent="0.35">
      <c r="A2" s="2" t="s">
        <v>26</v>
      </c>
      <c r="B2" s="116" t="s">
        <v>27</v>
      </c>
      <c r="C2" s="116"/>
      <c r="D2" s="116"/>
      <c r="E2" s="116" t="s">
        <v>28</v>
      </c>
      <c r="F2" s="116"/>
      <c r="G2" s="116"/>
      <c r="H2" s="116" t="s">
        <v>29</v>
      </c>
      <c r="I2" s="116"/>
      <c r="J2" s="116"/>
      <c r="K2" s="116" t="s">
        <v>30</v>
      </c>
      <c r="L2" s="116"/>
      <c r="M2" s="116"/>
      <c r="O2" s="115"/>
      <c r="P2" s="115"/>
    </row>
    <row r="3" spans="1:16" ht="15" thickBot="1" x14ac:dyDescent="0.35">
      <c r="A3" s="2" t="s">
        <v>31</v>
      </c>
      <c r="B3" s="54" t="s">
        <v>32</v>
      </c>
      <c r="C3" s="55" t="s">
        <v>33</v>
      </c>
      <c r="D3" s="56" t="s">
        <v>34</v>
      </c>
      <c r="E3" s="57" t="s">
        <v>35</v>
      </c>
      <c r="F3" s="58" t="s">
        <v>36</v>
      </c>
      <c r="G3" s="59" t="s">
        <v>37</v>
      </c>
      <c r="H3" s="60" t="s">
        <v>38</v>
      </c>
      <c r="I3" s="61" t="s">
        <v>39</v>
      </c>
      <c r="J3" s="62" t="s">
        <v>40</v>
      </c>
      <c r="K3" s="63" t="s">
        <v>41</v>
      </c>
      <c r="L3" s="64" t="s">
        <v>42</v>
      </c>
      <c r="M3" s="65" t="s">
        <v>43</v>
      </c>
      <c r="O3" s="65" t="s">
        <v>44</v>
      </c>
      <c r="P3" s="65" t="s">
        <v>45</v>
      </c>
    </row>
    <row r="4" spans="1:16" x14ac:dyDescent="0.3">
      <c r="A4" s="2">
        <v>1</v>
      </c>
      <c r="B4" s="66" t="s">
        <v>46</v>
      </c>
      <c r="C4" s="67" t="s">
        <v>47</v>
      </c>
      <c r="D4" s="68" t="s">
        <v>47</v>
      </c>
      <c r="E4" s="66" t="s">
        <v>48</v>
      </c>
      <c r="F4" s="67" t="s">
        <v>49</v>
      </c>
      <c r="G4" s="68" t="s">
        <v>47</v>
      </c>
      <c r="H4" s="66" t="s">
        <v>49</v>
      </c>
      <c r="I4" s="69" t="s">
        <v>49</v>
      </c>
      <c r="J4" s="69" t="s">
        <v>49</v>
      </c>
      <c r="K4" s="77" t="s">
        <v>50</v>
      </c>
      <c r="L4" s="69" t="s">
        <v>47</v>
      </c>
      <c r="M4" s="69" t="s">
        <v>48</v>
      </c>
      <c r="O4" s="16" t="s">
        <v>51</v>
      </c>
      <c r="P4" s="71">
        <f>37.12 - 0.5 - 1 + 2.5 - 0.5 - 1.5</f>
        <v>36.119999999999997</v>
      </c>
    </row>
    <row r="5" spans="1:16" x14ac:dyDescent="0.3">
      <c r="A5" s="2">
        <v>2</v>
      </c>
      <c r="B5" s="69" t="s">
        <v>46</v>
      </c>
      <c r="C5" s="17" t="s">
        <v>47</v>
      </c>
      <c r="D5" s="70" t="s">
        <v>47</v>
      </c>
      <c r="E5" s="69" t="s">
        <v>49</v>
      </c>
      <c r="F5" s="16" t="s">
        <v>49</v>
      </c>
      <c r="G5" s="71" t="s">
        <v>49</v>
      </c>
      <c r="H5" s="69" t="s">
        <v>49</v>
      </c>
      <c r="I5" s="69" t="s">
        <v>47</v>
      </c>
      <c r="J5" s="69" t="s">
        <v>50</v>
      </c>
      <c r="K5" s="69" t="s">
        <v>52</v>
      </c>
      <c r="L5" s="72" t="s">
        <v>47</v>
      </c>
      <c r="M5" s="69" t="s">
        <v>49</v>
      </c>
      <c r="O5" s="16" t="s">
        <v>53</v>
      </c>
      <c r="P5" s="71">
        <f>3.5-0.5-0.5 + 1.75 - 1</f>
        <v>3.25</v>
      </c>
    </row>
    <row r="6" spans="1:16" x14ac:dyDescent="0.3">
      <c r="A6" s="2">
        <v>3</v>
      </c>
      <c r="B6" s="69" t="s">
        <v>46</v>
      </c>
      <c r="C6" s="16" t="s">
        <v>46</v>
      </c>
      <c r="D6" s="71" t="s">
        <v>49</v>
      </c>
      <c r="E6" s="69" t="s">
        <v>49</v>
      </c>
      <c r="F6" s="16" t="s">
        <v>47</v>
      </c>
      <c r="G6" s="71" t="s">
        <v>49</v>
      </c>
      <c r="H6" s="69" t="s">
        <v>49</v>
      </c>
      <c r="I6" s="72" t="s">
        <v>47</v>
      </c>
      <c r="J6" s="69" t="s">
        <v>49</v>
      </c>
      <c r="K6" s="69" t="s">
        <v>50</v>
      </c>
      <c r="L6" s="69" t="s">
        <v>50</v>
      </c>
      <c r="M6" s="69" t="s">
        <v>49</v>
      </c>
      <c r="O6" s="16" t="s">
        <v>54</v>
      </c>
      <c r="P6" s="71">
        <f xml:space="preserve"> 52 + 4</f>
        <v>56</v>
      </c>
    </row>
    <row r="7" spans="1:16" x14ac:dyDescent="0.3">
      <c r="A7" s="2">
        <v>4</v>
      </c>
      <c r="B7" s="69" t="s">
        <v>47</v>
      </c>
      <c r="C7" s="16" t="s">
        <v>46</v>
      </c>
      <c r="D7" s="71" t="s">
        <v>48</v>
      </c>
      <c r="E7" s="69" t="s">
        <v>49</v>
      </c>
      <c r="F7" s="17" t="s">
        <v>47</v>
      </c>
      <c r="G7" s="71" t="s">
        <v>49</v>
      </c>
      <c r="H7" s="69" t="s">
        <v>49</v>
      </c>
      <c r="I7" s="69" t="s">
        <v>49</v>
      </c>
      <c r="J7" s="69" t="s">
        <v>49</v>
      </c>
      <c r="K7" s="69" t="s">
        <v>47</v>
      </c>
      <c r="L7" s="69" t="s">
        <v>50</v>
      </c>
      <c r="M7" s="69" t="s">
        <v>49</v>
      </c>
      <c r="O7" s="16" t="s">
        <v>55</v>
      </c>
      <c r="P7" s="71">
        <f>2-2</f>
        <v>0</v>
      </c>
    </row>
    <row r="8" spans="1:16" x14ac:dyDescent="0.3">
      <c r="A8" s="2">
        <v>5</v>
      </c>
      <c r="B8" s="72" t="s">
        <v>47</v>
      </c>
      <c r="C8" s="16" t="s">
        <v>46</v>
      </c>
      <c r="D8" s="71" t="s">
        <v>49</v>
      </c>
      <c r="E8" s="69" t="s">
        <v>47</v>
      </c>
      <c r="F8" s="16" t="s">
        <v>48</v>
      </c>
      <c r="G8" s="71" t="s">
        <v>48</v>
      </c>
      <c r="H8" s="69" t="s">
        <v>47</v>
      </c>
      <c r="I8" s="69" t="s">
        <v>49</v>
      </c>
      <c r="J8" s="69" t="s">
        <v>49</v>
      </c>
      <c r="K8" s="72" t="s">
        <v>47</v>
      </c>
      <c r="L8" s="69" t="s">
        <v>50</v>
      </c>
      <c r="M8" s="69" t="s">
        <v>48</v>
      </c>
      <c r="O8" s="16"/>
      <c r="P8" s="71">
        <f>SUM(P4:P7)</f>
        <v>95.37</v>
      </c>
    </row>
    <row r="9" spans="1:16" x14ac:dyDescent="0.3">
      <c r="A9" s="2">
        <v>6</v>
      </c>
      <c r="B9" s="69" t="s">
        <v>49</v>
      </c>
      <c r="C9" s="16" t="s">
        <v>46</v>
      </c>
      <c r="D9" s="71" t="s">
        <v>49</v>
      </c>
      <c r="E9" s="72" t="s">
        <v>47</v>
      </c>
      <c r="F9" s="16" t="s">
        <v>49</v>
      </c>
      <c r="G9" s="71" t="s">
        <v>49</v>
      </c>
      <c r="H9" s="72" t="s">
        <v>47</v>
      </c>
      <c r="I9" s="69" t="s">
        <v>50</v>
      </c>
      <c r="J9" s="69" t="s">
        <v>47</v>
      </c>
      <c r="K9" s="69" t="s">
        <v>48</v>
      </c>
      <c r="L9" s="69" t="s">
        <v>49</v>
      </c>
      <c r="M9" s="69" t="s">
        <v>47</v>
      </c>
    </row>
    <row r="10" spans="1:16" x14ac:dyDescent="0.3">
      <c r="A10" s="2">
        <v>7</v>
      </c>
      <c r="B10" s="69" t="s">
        <v>49</v>
      </c>
      <c r="C10" s="16" t="s">
        <v>46</v>
      </c>
      <c r="D10" s="71" t="s">
        <v>48</v>
      </c>
      <c r="E10" s="69" t="s">
        <v>49</v>
      </c>
      <c r="F10" s="16" t="s">
        <v>49</v>
      </c>
      <c r="G10" s="71" t="s">
        <v>47</v>
      </c>
      <c r="H10" s="69" t="s">
        <v>48</v>
      </c>
      <c r="I10" s="69" t="s">
        <v>50</v>
      </c>
      <c r="J10" s="72" t="s">
        <v>47</v>
      </c>
      <c r="K10" s="69" t="s">
        <v>46</v>
      </c>
      <c r="L10" s="69" t="s">
        <v>49</v>
      </c>
      <c r="M10" s="72" t="s">
        <v>47</v>
      </c>
    </row>
    <row r="11" spans="1:16" x14ac:dyDescent="0.3">
      <c r="A11" s="2">
        <v>8</v>
      </c>
      <c r="B11" s="69" t="s">
        <v>49</v>
      </c>
      <c r="C11" s="16" t="s">
        <v>47</v>
      </c>
      <c r="D11" s="71" t="s">
        <v>47</v>
      </c>
      <c r="E11" s="69" t="s">
        <v>49</v>
      </c>
      <c r="F11" s="16" t="s">
        <v>48</v>
      </c>
      <c r="G11" s="70" t="s">
        <v>47</v>
      </c>
      <c r="H11" s="69" t="s">
        <v>49</v>
      </c>
      <c r="I11" s="69" t="s">
        <v>48</v>
      </c>
      <c r="J11" s="69" t="s">
        <v>49</v>
      </c>
      <c r="K11" s="69" t="s">
        <v>49</v>
      </c>
      <c r="L11" s="69" t="s">
        <v>47</v>
      </c>
      <c r="M11" s="69" t="s">
        <v>49</v>
      </c>
    </row>
    <row r="12" spans="1:16" x14ac:dyDescent="0.3">
      <c r="A12" s="2">
        <v>9</v>
      </c>
      <c r="B12" s="69" t="s">
        <v>49</v>
      </c>
      <c r="C12" s="16" t="s">
        <v>47</v>
      </c>
      <c r="D12" s="70" t="s">
        <v>47</v>
      </c>
      <c r="E12" s="69" t="s">
        <v>49</v>
      </c>
      <c r="F12" s="16" t="s">
        <v>113</v>
      </c>
      <c r="G12" s="71" t="s">
        <v>113</v>
      </c>
      <c r="H12" s="69" t="s">
        <v>49</v>
      </c>
      <c r="I12" s="69" t="s">
        <v>47</v>
      </c>
      <c r="J12" s="69" t="s">
        <v>49</v>
      </c>
      <c r="K12" s="69" t="s">
        <v>49</v>
      </c>
      <c r="L12" s="72" t="s">
        <v>47</v>
      </c>
      <c r="M12" s="69" t="s">
        <v>49</v>
      </c>
      <c r="O12" s="114" t="s">
        <v>112</v>
      </c>
      <c r="P12" s="114"/>
    </row>
    <row r="13" spans="1:16" x14ac:dyDescent="0.3">
      <c r="A13" s="2">
        <v>10</v>
      </c>
      <c r="B13" s="69" t="s">
        <v>46</v>
      </c>
      <c r="C13" s="16" t="s">
        <v>49</v>
      </c>
      <c r="D13" s="71" t="s">
        <v>48</v>
      </c>
      <c r="E13" s="69" t="s">
        <v>48</v>
      </c>
      <c r="F13" s="16" t="s">
        <v>47</v>
      </c>
      <c r="G13" s="71" t="s">
        <v>49</v>
      </c>
      <c r="H13" s="69" t="s">
        <v>49</v>
      </c>
      <c r="I13" s="72" t="s">
        <v>47</v>
      </c>
      <c r="J13" s="69" t="s">
        <v>49</v>
      </c>
      <c r="K13" s="69" t="s">
        <v>49</v>
      </c>
      <c r="L13" s="69" t="s">
        <v>49</v>
      </c>
      <c r="M13" s="69" t="s">
        <v>49</v>
      </c>
      <c r="O13" s="88" t="s">
        <v>27</v>
      </c>
      <c r="P13" s="71">
        <f>6 - COUNTIF(B4:D34,"PERSONAL EXCP.")</f>
        <v>6</v>
      </c>
    </row>
    <row r="14" spans="1:16" x14ac:dyDescent="0.3">
      <c r="A14" s="2">
        <v>11</v>
      </c>
      <c r="B14" s="69" t="s">
        <v>47</v>
      </c>
      <c r="C14" s="16" t="s">
        <v>49</v>
      </c>
      <c r="D14" s="71" t="s">
        <v>49</v>
      </c>
      <c r="E14" s="69" t="s">
        <v>49</v>
      </c>
      <c r="F14" s="17" t="s">
        <v>47</v>
      </c>
      <c r="G14" s="71" t="s">
        <v>48</v>
      </c>
      <c r="H14" s="69" t="s">
        <v>49</v>
      </c>
      <c r="I14" s="69" t="s">
        <v>49</v>
      </c>
      <c r="J14" s="69" t="s">
        <v>49</v>
      </c>
      <c r="K14" s="69" t="s">
        <v>47</v>
      </c>
      <c r="L14" s="69" t="s">
        <v>49</v>
      </c>
      <c r="M14" s="69" t="s">
        <v>49</v>
      </c>
      <c r="O14" s="88" t="s">
        <v>28</v>
      </c>
      <c r="P14" s="71">
        <f>6 - COUNTIF(E4:G34,"PERSONAL EXCP.")</f>
        <v>4</v>
      </c>
    </row>
    <row r="15" spans="1:16" x14ac:dyDescent="0.3">
      <c r="A15" s="2">
        <v>12</v>
      </c>
      <c r="B15" s="69" t="s">
        <v>47</v>
      </c>
      <c r="C15" s="16" t="s">
        <v>49</v>
      </c>
      <c r="D15" s="71" t="s">
        <v>49</v>
      </c>
      <c r="E15" s="69" t="s">
        <v>47</v>
      </c>
      <c r="F15" s="16" t="s">
        <v>49</v>
      </c>
      <c r="G15" s="71" t="s">
        <v>49</v>
      </c>
      <c r="H15" s="69" t="s">
        <v>47</v>
      </c>
      <c r="I15" s="69" t="s">
        <v>49</v>
      </c>
      <c r="J15" s="69" t="s">
        <v>49</v>
      </c>
      <c r="K15" s="72" t="s">
        <v>47</v>
      </c>
      <c r="L15" s="69" t="s">
        <v>49</v>
      </c>
      <c r="M15" s="69" t="s">
        <v>49</v>
      </c>
      <c r="O15" s="88" t="s">
        <v>29</v>
      </c>
      <c r="P15" s="71">
        <f>6 - COUNTIF(H4:J34,"PERSONAL EXCP.")</f>
        <v>1</v>
      </c>
    </row>
    <row r="16" spans="1:16" x14ac:dyDescent="0.3">
      <c r="A16" s="2">
        <v>13</v>
      </c>
      <c r="B16" s="69" t="s">
        <v>49</v>
      </c>
      <c r="C16" s="16" t="s">
        <v>49</v>
      </c>
      <c r="D16" s="71" t="s">
        <v>48</v>
      </c>
      <c r="E16" s="72" t="s">
        <v>47</v>
      </c>
      <c r="F16" s="16" t="s">
        <v>49</v>
      </c>
      <c r="G16" s="71" t="s">
        <v>49</v>
      </c>
      <c r="H16" s="72" t="s">
        <v>47</v>
      </c>
      <c r="I16" s="69" t="s">
        <v>49</v>
      </c>
      <c r="J16" s="69" t="s">
        <v>47</v>
      </c>
      <c r="K16" s="69" t="s">
        <v>49</v>
      </c>
      <c r="L16" s="69" t="s">
        <v>49</v>
      </c>
      <c r="M16" s="69" t="s">
        <v>47</v>
      </c>
      <c r="O16" s="88" t="s">
        <v>30</v>
      </c>
      <c r="P16" s="71">
        <f>6 - COUNTIF(K4:M34,"PERSONAL EXCP.")</f>
        <v>1</v>
      </c>
    </row>
    <row r="17" spans="1:13" x14ac:dyDescent="0.3">
      <c r="A17" s="2">
        <v>14</v>
      </c>
      <c r="B17" s="69" t="s">
        <v>49</v>
      </c>
      <c r="C17" s="16" t="s">
        <v>46</v>
      </c>
      <c r="D17" s="71" t="s">
        <v>52</v>
      </c>
      <c r="E17" s="69" t="s">
        <v>49</v>
      </c>
      <c r="F17" s="16" t="s">
        <v>49</v>
      </c>
      <c r="G17" s="71" t="s">
        <v>47</v>
      </c>
      <c r="H17" s="69" t="s">
        <v>46</v>
      </c>
      <c r="I17" s="69" t="s">
        <v>49</v>
      </c>
      <c r="J17" s="72" t="s">
        <v>47</v>
      </c>
      <c r="K17" s="69" t="s">
        <v>49</v>
      </c>
      <c r="L17" s="69" t="s">
        <v>49</v>
      </c>
      <c r="M17" s="72" t="s">
        <v>47</v>
      </c>
    </row>
    <row r="18" spans="1:13" x14ac:dyDescent="0.3">
      <c r="A18" s="2">
        <v>15</v>
      </c>
      <c r="B18" s="69" t="s">
        <v>46</v>
      </c>
      <c r="C18" s="16" t="s">
        <v>47</v>
      </c>
      <c r="D18" s="71" t="s">
        <v>47</v>
      </c>
      <c r="E18" s="69" t="s">
        <v>48</v>
      </c>
      <c r="F18" s="16" t="s">
        <v>48</v>
      </c>
      <c r="G18" s="70" t="s">
        <v>47</v>
      </c>
      <c r="H18" s="69" t="s">
        <v>46</v>
      </c>
      <c r="I18" s="69" t="s">
        <v>52</v>
      </c>
      <c r="J18" s="69" t="s">
        <v>49</v>
      </c>
      <c r="K18" s="69" t="s">
        <v>49</v>
      </c>
      <c r="L18" s="69" t="s">
        <v>47</v>
      </c>
      <c r="M18" s="69" t="s">
        <v>49</v>
      </c>
    </row>
    <row r="19" spans="1:13" x14ac:dyDescent="0.3">
      <c r="A19" s="2">
        <v>16</v>
      </c>
      <c r="B19" s="69" t="s">
        <v>46</v>
      </c>
      <c r="C19" s="16" t="s">
        <v>47</v>
      </c>
      <c r="D19" s="70" t="s">
        <v>47</v>
      </c>
      <c r="E19" s="69" t="s">
        <v>49</v>
      </c>
      <c r="F19" s="16" t="s">
        <v>49</v>
      </c>
      <c r="G19" s="71" t="s">
        <v>49</v>
      </c>
      <c r="H19" s="69" t="s">
        <v>46</v>
      </c>
      <c r="I19" s="69" t="s">
        <v>47</v>
      </c>
      <c r="J19" s="69" t="s">
        <v>49</v>
      </c>
      <c r="K19" s="69" t="s">
        <v>49</v>
      </c>
      <c r="L19" s="72" t="s">
        <v>47</v>
      </c>
      <c r="M19" s="69" t="s">
        <v>49</v>
      </c>
    </row>
    <row r="20" spans="1:13" x14ac:dyDescent="0.3">
      <c r="A20" s="2">
        <v>17</v>
      </c>
      <c r="B20" s="69" t="s">
        <v>46</v>
      </c>
      <c r="C20" s="16" t="s">
        <v>46</v>
      </c>
      <c r="D20" s="71" t="s">
        <v>49</v>
      </c>
      <c r="E20" s="69" t="s">
        <v>49</v>
      </c>
      <c r="F20" s="16" t="s">
        <v>47</v>
      </c>
      <c r="G20" s="71" t="s">
        <v>49</v>
      </c>
      <c r="H20" s="69" t="s">
        <v>113</v>
      </c>
      <c r="I20" s="72" t="s">
        <v>47</v>
      </c>
      <c r="J20" s="69" t="s">
        <v>48</v>
      </c>
      <c r="K20" s="69" t="s">
        <v>49</v>
      </c>
      <c r="L20" s="69" t="s">
        <v>49</v>
      </c>
      <c r="M20" s="69" t="s">
        <v>49</v>
      </c>
    </row>
    <row r="21" spans="1:13" x14ac:dyDescent="0.3">
      <c r="A21" s="2">
        <v>18</v>
      </c>
      <c r="B21" s="69" t="s">
        <v>47</v>
      </c>
      <c r="C21" s="16" t="s">
        <v>49</v>
      </c>
      <c r="D21" s="71" t="s">
        <v>49</v>
      </c>
      <c r="E21" s="69" t="s">
        <v>52</v>
      </c>
      <c r="F21" s="17" t="s">
        <v>47</v>
      </c>
      <c r="G21" s="71" t="s">
        <v>49</v>
      </c>
      <c r="H21" s="69" t="s">
        <v>113</v>
      </c>
      <c r="I21" s="69" t="s">
        <v>49</v>
      </c>
      <c r="J21" s="69" t="s">
        <v>49</v>
      </c>
      <c r="K21" s="69" t="s">
        <v>47</v>
      </c>
      <c r="L21" s="69" t="s">
        <v>49</v>
      </c>
      <c r="M21" s="69" t="s">
        <v>49</v>
      </c>
    </row>
    <row r="22" spans="1:13" x14ac:dyDescent="0.3">
      <c r="A22" s="2">
        <v>19</v>
      </c>
      <c r="B22" s="69" t="s">
        <v>47</v>
      </c>
      <c r="C22" s="16" t="s">
        <v>49</v>
      </c>
      <c r="D22" s="71" t="s">
        <v>48</v>
      </c>
      <c r="E22" s="69" t="s">
        <v>47</v>
      </c>
      <c r="F22" s="16" t="s">
        <v>49</v>
      </c>
      <c r="G22" s="71" t="s">
        <v>49</v>
      </c>
      <c r="H22" s="69" t="s">
        <v>47</v>
      </c>
      <c r="I22" s="69" t="s">
        <v>48</v>
      </c>
      <c r="J22" s="69" t="s">
        <v>49</v>
      </c>
      <c r="K22" s="72" t="s">
        <v>47</v>
      </c>
      <c r="L22" s="69" t="s">
        <v>49</v>
      </c>
      <c r="M22" s="69" t="s">
        <v>49</v>
      </c>
    </row>
    <row r="23" spans="1:13" x14ac:dyDescent="0.3">
      <c r="A23" s="2">
        <v>20</v>
      </c>
      <c r="B23" s="69" t="s">
        <v>49</v>
      </c>
      <c r="C23" s="16" t="s">
        <v>46</v>
      </c>
      <c r="D23" s="71" t="s">
        <v>49</v>
      </c>
      <c r="E23" s="72" t="s">
        <v>47</v>
      </c>
      <c r="F23" s="16" t="s">
        <v>49</v>
      </c>
      <c r="G23" s="71" t="s">
        <v>49</v>
      </c>
      <c r="H23" s="72" t="s">
        <v>47</v>
      </c>
      <c r="I23" s="69" t="s">
        <v>49</v>
      </c>
      <c r="J23" s="69" t="s">
        <v>47</v>
      </c>
      <c r="K23" s="69" t="s">
        <v>52</v>
      </c>
      <c r="L23" s="69" t="s">
        <v>49</v>
      </c>
      <c r="M23" s="69" t="s">
        <v>47</v>
      </c>
    </row>
    <row r="24" spans="1:13" x14ac:dyDescent="0.3">
      <c r="A24" s="2">
        <v>21</v>
      </c>
      <c r="B24" s="69" t="s">
        <v>49</v>
      </c>
      <c r="C24" s="16" t="s">
        <v>46</v>
      </c>
      <c r="D24" s="71" t="s">
        <v>48</v>
      </c>
      <c r="E24" s="69" t="s">
        <v>48</v>
      </c>
      <c r="F24" s="16" t="s">
        <v>48</v>
      </c>
      <c r="G24" s="71" t="s">
        <v>47</v>
      </c>
      <c r="H24" s="69" t="s">
        <v>48</v>
      </c>
      <c r="I24" s="69" t="s">
        <v>49</v>
      </c>
      <c r="J24" s="72" t="s">
        <v>47</v>
      </c>
      <c r="K24" s="69" t="s">
        <v>50</v>
      </c>
      <c r="L24" s="69" t="s">
        <v>49</v>
      </c>
      <c r="M24" s="72" t="s">
        <v>47</v>
      </c>
    </row>
    <row r="25" spans="1:13" x14ac:dyDescent="0.3">
      <c r="A25" s="2">
        <v>22</v>
      </c>
      <c r="B25" s="69" t="s">
        <v>49</v>
      </c>
      <c r="C25" s="16" t="s">
        <v>47</v>
      </c>
      <c r="D25" s="71" t="s">
        <v>47</v>
      </c>
      <c r="E25" s="69" t="s">
        <v>49</v>
      </c>
      <c r="F25" s="16" t="s">
        <v>49</v>
      </c>
      <c r="G25" s="70" t="s">
        <v>47</v>
      </c>
      <c r="H25" s="69" t="s">
        <v>49</v>
      </c>
      <c r="I25" s="69" t="s">
        <v>49</v>
      </c>
      <c r="J25" s="69" t="s">
        <v>49</v>
      </c>
      <c r="K25" s="69" t="s">
        <v>50</v>
      </c>
      <c r="L25" s="69" t="s">
        <v>47</v>
      </c>
      <c r="M25" s="69" t="s">
        <v>49</v>
      </c>
    </row>
    <row r="26" spans="1:13" x14ac:dyDescent="0.3">
      <c r="A26" s="2">
        <v>23</v>
      </c>
      <c r="B26" s="69" t="s">
        <v>46</v>
      </c>
      <c r="C26" s="16" t="s">
        <v>47</v>
      </c>
      <c r="D26" s="70" t="s">
        <v>47</v>
      </c>
      <c r="E26" s="69" t="s">
        <v>49</v>
      </c>
      <c r="F26" s="16" t="s">
        <v>49</v>
      </c>
      <c r="G26" s="71" t="s">
        <v>49</v>
      </c>
      <c r="H26" s="69" t="s">
        <v>48</v>
      </c>
      <c r="I26" s="69" t="s">
        <v>47</v>
      </c>
      <c r="J26" s="69" t="s">
        <v>49</v>
      </c>
      <c r="K26" s="69" t="s">
        <v>48</v>
      </c>
      <c r="L26" s="72" t="s">
        <v>47</v>
      </c>
      <c r="M26" s="69" t="s">
        <v>49</v>
      </c>
    </row>
    <row r="27" spans="1:13" x14ac:dyDescent="0.3">
      <c r="A27" s="2">
        <v>24</v>
      </c>
      <c r="B27" s="69" t="s">
        <v>49</v>
      </c>
      <c r="C27" s="16" t="s">
        <v>46</v>
      </c>
      <c r="D27" s="71" t="s">
        <v>48</v>
      </c>
      <c r="E27" s="69" t="s">
        <v>48</v>
      </c>
      <c r="F27" s="16" t="s">
        <v>47</v>
      </c>
      <c r="G27" s="71" t="s">
        <v>49</v>
      </c>
      <c r="H27" s="69" t="s">
        <v>49</v>
      </c>
      <c r="I27" s="72" t="s">
        <v>47</v>
      </c>
      <c r="J27" s="69" t="s">
        <v>113</v>
      </c>
      <c r="K27" s="69" t="s">
        <v>49</v>
      </c>
      <c r="L27" s="69" t="s">
        <v>49</v>
      </c>
      <c r="M27" s="69" t="s">
        <v>113</v>
      </c>
    </row>
    <row r="28" spans="1:13" x14ac:dyDescent="0.3">
      <c r="A28" s="2">
        <v>25</v>
      </c>
      <c r="B28" s="69" t="s">
        <v>47</v>
      </c>
      <c r="C28" s="16" t="s">
        <v>46</v>
      </c>
      <c r="D28" s="71" t="s">
        <v>49</v>
      </c>
      <c r="E28" s="69" t="s">
        <v>49</v>
      </c>
      <c r="F28" s="17" t="s">
        <v>47</v>
      </c>
      <c r="G28" s="71" t="s">
        <v>49</v>
      </c>
      <c r="H28" s="69" t="s">
        <v>49</v>
      </c>
      <c r="I28" s="69" t="s">
        <v>48</v>
      </c>
      <c r="J28" s="69" t="s">
        <v>113</v>
      </c>
      <c r="K28" s="69" t="s">
        <v>47</v>
      </c>
      <c r="L28" s="69" t="s">
        <v>49</v>
      </c>
      <c r="M28" s="69" t="s">
        <v>52</v>
      </c>
    </row>
    <row r="29" spans="1:13" x14ac:dyDescent="0.3">
      <c r="A29" s="2">
        <v>26</v>
      </c>
      <c r="B29" s="69" t="s">
        <v>47</v>
      </c>
      <c r="C29" s="16" t="s">
        <v>46</v>
      </c>
      <c r="D29" s="71" t="s">
        <v>48</v>
      </c>
      <c r="E29" s="69" t="s">
        <v>47</v>
      </c>
      <c r="F29" s="16" t="s">
        <v>49</v>
      </c>
      <c r="G29" s="71" t="s">
        <v>49</v>
      </c>
      <c r="H29" s="69" t="s">
        <v>47</v>
      </c>
      <c r="I29" s="69" t="s">
        <v>49</v>
      </c>
      <c r="J29" s="69" t="s">
        <v>113</v>
      </c>
      <c r="K29" s="72" t="s">
        <v>47</v>
      </c>
      <c r="L29" s="69" t="s">
        <v>49</v>
      </c>
      <c r="M29" s="69" t="s">
        <v>113</v>
      </c>
    </row>
    <row r="30" spans="1:13" x14ac:dyDescent="0.3">
      <c r="A30" s="2">
        <v>27</v>
      </c>
      <c r="B30" s="69" t="s">
        <v>49</v>
      </c>
      <c r="C30" s="16" t="s">
        <v>46</v>
      </c>
      <c r="D30" s="71" t="s">
        <v>49</v>
      </c>
      <c r="E30" s="72" t="s">
        <v>47</v>
      </c>
      <c r="F30" s="16" t="s">
        <v>49</v>
      </c>
      <c r="G30" s="71" t="s">
        <v>50</v>
      </c>
      <c r="H30" s="72" t="s">
        <v>47</v>
      </c>
      <c r="I30" s="69" t="s">
        <v>49</v>
      </c>
      <c r="J30" s="69" t="s">
        <v>47</v>
      </c>
      <c r="K30" s="69" t="s">
        <v>46</v>
      </c>
      <c r="L30" s="69" t="s">
        <v>48</v>
      </c>
      <c r="M30" s="69" t="s">
        <v>47</v>
      </c>
    </row>
    <row r="31" spans="1:13" x14ac:dyDescent="0.3">
      <c r="A31" s="2">
        <v>28</v>
      </c>
      <c r="B31" s="69" t="s">
        <v>46</v>
      </c>
      <c r="C31" s="16" t="s">
        <v>46</v>
      </c>
      <c r="D31" s="71" t="s">
        <v>49</v>
      </c>
      <c r="E31" s="69" t="s">
        <v>49</v>
      </c>
      <c r="F31" s="16" t="s">
        <v>49</v>
      </c>
      <c r="G31" s="71" t="s">
        <v>47</v>
      </c>
      <c r="H31" s="69" t="s">
        <v>49</v>
      </c>
      <c r="I31" s="69" t="s">
        <v>49</v>
      </c>
      <c r="J31" s="72" t="s">
        <v>47</v>
      </c>
      <c r="K31" s="69" t="s">
        <v>49</v>
      </c>
      <c r="L31" s="69" t="s">
        <v>49</v>
      </c>
      <c r="M31" s="72" t="s">
        <v>47</v>
      </c>
    </row>
    <row r="32" spans="1:13" x14ac:dyDescent="0.3">
      <c r="A32" s="2">
        <v>29</v>
      </c>
      <c r="B32" s="69" t="s">
        <v>46</v>
      </c>
      <c r="C32" s="17" t="s">
        <v>56</v>
      </c>
      <c r="D32" s="71" t="s">
        <v>47</v>
      </c>
      <c r="E32" s="69" t="s">
        <v>49</v>
      </c>
      <c r="F32" s="16" t="s">
        <v>49</v>
      </c>
      <c r="G32" s="70" t="s">
        <v>47</v>
      </c>
      <c r="H32" s="69" t="s">
        <v>49</v>
      </c>
      <c r="I32" s="69" t="s">
        <v>49</v>
      </c>
      <c r="J32" s="69" t="s">
        <v>48</v>
      </c>
      <c r="K32" s="69" t="s">
        <v>49</v>
      </c>
      <c r="L32" s="69" t="s">
        <v>47</v>
      </c>
      <c r="M32" s="69" t="s">
        <v>113</v>
      </c>
    </row>
    <row r="33" spans="1:13" x14ac:dyDescent="0.3">
      <c r="A33" s="2">
        <v>30</v>
      </c>
      <c r="B33" s="69" t="s">
        <v>46</v>
      </c>
      <c r="C33" s="16" t="s">
        <v>56</v>
      </c>
      <c r="D33" s="70" t="s">
        <v>47</v>
      </c>
      <c r="E33" s="69" t="s">
        <v>48</v>
      </c>
      <c r="F33" s="16" t="s">
        <v>49</v>
      </c>
      <c r="G33" s="71" t="s">
        <v>49</v>
      </c>
      <c r="H33" s="69" t="s">
        <v>50</v>
      </c>
      <c r="I33" s="69" t="s">
        <v>47</v>
      </c>
      <c r="J33" s="69" t="s">
        <v>50</v>
      </c>
      <c r="K33" s="69" t="s">
        <v>49</v>
      </c>
      <c r="L33" s="72" t="s">
        <v>47</v>
      </c>
      <c r="M33" s="69" t="s">
        <v>113</v>
      </c>
    </row>
    <row r="34" spans="1:13" ht="15" thickBot="1" x14ac:dyDescent="0.35">
      <c r="A34" s="2">
        <v>31</v>
      </c>
      <c r="B34" s="73" t="s">
        <v>46</v>
      </c>
      <c r="C34" s="74" t="s">
        <v>56</v>
      </c>
      <c r="D34" s="75" t="s">
        <v>52</v>
      </c>
      <c r="E34" s="73" t="s">
        <v>56</v>
      </c>
      <c r="F34" s="74" t="s">
        <v>47</v>
      </c>
      <c r="G34" s="76" t="s">
        <v>56</v>
      </c>
      <c r="H34" s="73" t="s">
        <v>50</v>
      </c>
      <c r="I34" s="72" t="s">
        <v>47</v>
      </c>
      <c r="J34" s="76" t="s">
        <v>56</v>
      </c>
      <c r="K34" s="69" t="s">
        <v>49</v>
      </c>
      <c r="L34" s="74" t="s">
        <v>56</v>
      </c>
      <c r="M34" s="69" t="s">
        <v>113</v>
      </c>
    </row>
    <row r="35" spans="1:13" ht="18.75" customHeight="1" x14ac:dyDescent="0.3">
      <c r="A35" s="18" t="s">
        <v>57</v>
      </c>
      <c r="B35" s="3">
        <f>31-COUNTIF(B$3:B$33,"WEEKEND")</f>
        <v>23</v>
      </c>
      <c r="C35" s="3">
        <f>28-COUNTIF(C$3:C$33,"WEEKEND")</f>
        <v>20</v>
      </c>
      <c r="D35" s="3">
        <f t="shared" ref="D35" si="0">30-COUNTIF(D$3:D$34,"WEEKEND")-COUNTIF(D$3:D$34,"HOLIDAY")</f>
        <v>18</v>
      </c>
      <c r="E35" s="3">
        <f>30-COUNTIF(E$3:E$33,"WEEKEND")-COUNTIF(E$3:E$34,"HOLIDAY")</f>
        <v>21</v>
      </c>
      <c r="F35" s="3">
        <f>31-COUNTIF(F$3:F$34,"WEEKEND")-COUNTIF(F$3:F$34,"HOLIDAY")</f>
        <v>22</v>
      </c>
      <c r="G35" s="3">
        <f>30-COUNTIF(G$3:G$33,"WEEKEND")</f>
        <v>21</v>
      </c>
      <c r="H35" s="3">
        <f>31-COUNTIF(H$3:H$34,"WEEKEND")-COUNTIF(H$3:H$34,"HOLIDAY")</f>
        <v>23</v>
      </c>
      <c r="I35" s="3">
        <f>31-COUNTIF(I$3:I$34,"WEEKEND")-COUNTIF(I$3:I$34,"HOLIDAY")</f>
        <v>20</v>
      </c>
      <c r="J35" s="3">
        <f t="shared" ref="J35:L35" si="1">30-COUNTIF(J$3:J$34,"WEEKEND")-COUNTIF(J$3:J$34,"HOLIDAY")</f>
        <v>22</v>
      </c>
      <c r="K35" s="3">
        <f>31-COUNTIF(K$3:K$34,"WEEKEND")-COUNTIF(K$3:K$34,"HOLIDAY")</f>
        <v>21</v>
      </c>
      <c r="L35" s="3">
        <f t="shared" si="1"/>
        <v>20</v>
      </c>
      <c r="M35" s="3">
        <f>31-COUNTIF(M$3:M$34,"WEEKEND")-COUNTIF(M$3:M$34,"HOLIDAY")</f>
        <v>22</v>
      </c>
    </row>
    <row r="36" spans="1:13" x14ac:dyDescent="0.3">
      <c r="A36" s="18" t="s">
        <v>49</v>
      </c>
      <c r="B36" s="3">
        <f t="shared" ref="B36:H36" si="2">COUNTIF(B4:B34,$A36)</f>
        <v>11</v>
      </c>
      <c r="C36" s="3">
        <f t="shared" si="2"/>
        <v>6</v>
      </c>
      <c r="D36" s="3">
        <f t="shared" si="2"/>
        <v>11</v>
      </c>
      <c r="E36" s="3">
        <f t="shared" si="2"/>
        <v>15</v>
      </c>
      <c r="F36" s="3">
        <f t="shared" si="2"/>
        <v>17</v>
      </c>
      <c r="G36" s="3">
        <f t="shared" si="2"/>
        <v>17</v>
      </c>
      <c r="H36" s="3">
        <f t="shared" si="2"/>
        <v>13</v>
      </c>
      <c r="I36" s="3">
        <f>COUNTIF(I4:I34,$A36)</f>
        <v>15</v>
      </c>
      <c r="J36" s="3">
        <f t="shared" ref="J36:M36" si="3">COUNTIF(J4:J34,$A36)</f>
        <v>15</v>
      </c>
      <c r="K36" s="3">
        <f t="shared" si="3"/>
        <v>13</v>
      </c>
      <c r="L36" s="3">
        <f t="shared" si="3"/>
        <v>16</v>
      </c>
      <c r="M36" s="3">
        <f t="shared" si="3"/>
        <v>15</v>
      </c>
    </row>
    <row r="37" spans="1:13" x14ac:dyDescent="0.3">
      <c r="A37" s="18" t="s">
        <v>46</v>
      </c>
      <c r="B37" s="3">
        <f>COUNTIF(B$4:B$34,$A$37) + COUNTIF(B$4:B$34, "PERSONAL EXCP.")</f>
        <v>12</v>
      </c>
      <c r="C37" s="3">
        <f>COUNTIF(C$4:C$34,$A$37) + COUNTIF(C$4:C$34, "PERSONAL EXCP.")</f>
        <v>14</v>
      </c>
      <c r="D37" s="3">
        <f t="shared" ref="D37:M37" si="4">COUNTIF(D$4:D$34,$A$37) + COUNTIF(D$4:D$34, "PERSONAL EXCP.")</f>
        <v>0</v>
      </c>
      <c r="E37" s="3">
        <f t="shared" si="4"/>
        <v>0</v>
      </c>
      <c r="F37" s="3">
        <f t="shared" si="4"/>
        <v>1</v>
      </c>
      <c r="G37" s="3">
        <f t="shared" si="4"/>
        <v>1</v>
      </c>
      <c r="H37" s="3">
        <f t="shared" si="4"/>
        <v>5</v>
      </c>
      <c r="I37" s="3">
        <f t="shared" si="4"/>
        <v>0</v>
      </c>
      <c r="J37" s="3">
        <f t="shared" si="4"/>
        <v>3</v>
      </c>
      <c r="K37" s="3">
        <f t="shared" si="4"/>
        <v>2</v>
      </c>
      <c r="L37" s="3">
        <f t="shared" si="4"/>
        <v>0</v>
      </c>
      <c r="M37" s="3">
        <f t="shared" si="4"/>
        <v>5</v>
      </c>
    </row>
    <row r="38" spans="1:13" x14ac:dyDescent="0.3">
      <c r="A38" s="18" t="s">
        <v>48</v>
      </c>
      <c r="B38" s="3">
        <f t="shared" ref="B38:H38" si="5">COUNTIF(B$5:B$34,$A$38)</f>
        <v>0</v>
      </c>
      <c r="C38" s="3">
        <f t="shared" si="5"/>
        <v>0</v>
      </c>
      <c r="D38" s="3">
        <f t="shared" si="5"/>
        <v>8</v>
      </c>
      <c r="E38" s="3">
        <f t="shared" si="5"/>
        <v>5</v>
      </c>
      <c r="F38" s="3">
        <f t="shared" si="5"/>
        <v>4</v>
      </c>
      <c r="G38" s="3">
        <f t="shared" si="5"/>
        <v>2</v>
      </c>
      <c r="H38" s="3">
        <f t="shared" si="5"/>
        <v>3</v>
      </c>
      <c r="I38" s="3">
        <f>COUNTIF(I$4:I$34,$A$38)</f>
        <v>3</v>
      </c>
      <c r="J38" s="3">
        <f t="shared" ref="J38:M38" si="6">COUNTIF(J$4:J$34,$A$38)</f>
        <v>2</v>
      </c>
      <c r="K38" s="3">
        <f t="shared" si="6"/>
        <v>2</v>
      </c>
      <c r="L38" s="3">
        <f t="shared" si="6"/>
        <v>1</v>
      </c>
      <c r="M38" s="3">
        <f t="shared" si="6"/>
        <v>2</v>
      </c>
    </row>
    <row r="39" spans="1:13" ht="15" thickBot="1" x14ac:dyDescent="0.35">
      <c r="A39" s="18" t="s">
        <v>50</v>
      </c>
      <c r="B39" s="80">
        <f t="shared" ref="B39:D39" si="7">COUNTIF(B$4:B$34,$A39)</f>
        <v>0</v>
      </c>
      <c r="C39" s="80">
        <f t="shared" si="7"/>
        <v>0</v>
      </c>
      <c r="D39" s="80">
        <f t="shared" si="7"/>
        <v>0</v>
      </c>
      <c r="E39" s="80">
        <f>COUNTIF(E$4:E$34,$A39)</f>
        <v>0</v>
      </c>
      <c r="F39" s="80">
        <f t="shared" ref="F39:M39" si="8">COUNTIF(F$4:F$34,$A39)</f>
        <v>0</v>
      </c>
      <c r="G39" s="80">
        <f t="shared" si="8"/>
        <v>1</v>
      </c>
      <c r="H39" s="80">
        <f t="shared" si="8"/>
        <v>2</v>
      </c>
      <c r="I39" s="80">
        <f t="shared" si="8"/>
        <v>2</v>
      </c>
      <c r="J39" s="80">
        <f t="shared" si="8"/>
        <v>2</v>
      </c>
      <c r="K39" s="80">
        <f t="shared" si="8"/>
        <v>4</v>
      </c>
      <c r="L39" s="80">
        <f t="shared" si="8"/>
        <v>3</v>
      </c>
      <c r="M39" s="80">
        <f t="shared" si="8"/>
        <v>0</v>
      </c>
    </row>
    <row r="40" spans="1:13" x14ac:dyDescent="0.3">
      <c r="A40" s="79" t="s">
        <v>58</v>
      </c>
      <c r="B40" s="81">
        <f>SUM(B$36:B$37,B39)/B$35</f>
        <v>1</v>
      </c>
      <c r="C40" s="82">
        <f t="shared" ref="C40:M40" si="9">SUM(C$36:C$37,C39)/C$35</f>
        <v>1</v>
      </c>
      <c r="D40" s="83">
        <f t="shared" si="9"/>
        <v>0.61111111111111116</v>
      </c>
      <c r="E40" s="81">
        <f t="shared" si="9"/>
        <v>0.7142857142857143</v>
      </c>
      <c r="F40" s="82">
        <f t="shared" si="9"/>
        <v>0.81818181818181823</v>
      </c>
      <c r="G40" s="83">
        <f t="shared" si="9"/>
        <v>0.90476190476190477</v>
      </c>
      <c r="H40" s="81">
        <f t="shared" si="9"/>
        <v>0.86956521739130432</v>
      </c>
      <c r="I40" s="82">
        <f t="shared" si="9"/>
        <v>0.85</v>
      </c>
      <c r="J40" s="83">
        <f t="shared" si="9"/>
        <v>0.90909090909090906</v>
      </c>
      <c r="K40" s="81">
        <f t="shared" si="9"/>
        <v>0.90476190476190477</v>
      </c>
      <c r="L40" s="82">
        <f t="shared" si="9"/>
        <v>0.95</v>
      </c>
      <c r="M40" s="83">
        <f t="shared" si="9"/>
        <v>0.90909090909090906</v>
      </c>
    </row>
    <row r="41" spans="1:13" ht="15" thickBot="1" x14ac:dyDescent="0.35">
      <c r="A41" s="79" t="s">
        <v>59</v>
      </c>
      <c r="B41" s="122">
        <f>AVERAGE(B40:D40)</f>
        <v>0.87037037037037035</v>
      </c>
      <c r="C41" s="123"/>
      <c r="D41" s="124"/>
      <c r="E41" s="122">
        <f>AVERAGE(E40:G40)</f>
        <v>0.81240981240981247</v>
      </c>
      <c r="F41" s="123"/>
      <c r="G41" s="124"/>
      <c r="H41" s="122">
        <f t="shared" ref="H41" si="10">AVERAGE(H40:J40)</f>
        <v>0.87621870882740449</v>
      </c>
      <c r="I41" s="123"/>
      <c r="J41" s="124"/>
      <c r="K41" s="122">
        <f t="shared" ref="K41" si="11">AVERAGE(K40:M40)</f>
        <v>0.92128427128427137</v>
      </c>
      <c r="L41" s="123"/>
      <c r="M41" s="124"/>
    </row>
    <row r="42" spans="1:13" x14ac:dyDescent="0.3">
      <c r="A42" s="18" t="s">
        <v>60</v>
      </c>
      <c r="B42" s="3">
        <f>ROUND(B$35*(1-0.85),0)</f>
        <v>3</v>
      </c>
      <c r="C42" s="3">
        <f t="shared" ref="C42:M42" si="12">ROUND(C$35*(1-0.85),0)</f>
        <v>3</v>
      </c>
      <c r="D42" s="3">
        <f t="shared" si="12"/>
        <v>3</v>
      </c>
      <c r="E42" s="3">
        <f t="shared" si="12"/>
        <v>3</v>
      </c>
      <c r="F42" s="3">
        <f t="shared" si="12"/>
        <v>3</v>
      </c>
      <c r="G42" s="3">
        <f t="shared" si="12"/>
        <v>3</v>
      </c>
      <c r="H42" s="3">
        <f t="shared" si="12"/>
        <v>3</v>
      </c>
      <c r="I42" s="3">
        <f>ROUND(I$35*(1-0.85),0)</f>
        <v>3</v>
      </c>
      <c r="J42" s="3">
        <f t="shared" si="12"/>
        <v>3</v>
      </c>
      <c r="K42" s="3">
        <f t="shared" si="12"/>
        <v>3</v>
      </c>
      <c r="L42" s="3">
        <f t="shared" si="12"/>
        <v>3</v>
      </c>
      <c r="M42" s="3">
        <f t="shared" si="12"/>
        <v>3</v>
      </c>
    </row>
    <row r="43" spans="1:13" x14ac:dyDescent="0.3">
      <c r="E43" s="20"/>
    </row>
  </sheetData>
  <mergeCells count="11">
    <mergeCell ref="O1:P2"/>
    <mergeCell ref="B1:M1"/>
    <mergeCell ref="B41:D41"/>
    <mergeCell ref="E41:G41"/>
    <mergeCell ref="H41:J41"/>
    <mergeCell ref="K41:M41"/>
    <mergeCell ref="B2:D2"/>
    <mergeCell ref="E2:G2"/>
    <mergeCell ref="H2:J2"/>
    <mergeCell ref="K2:M2"/>
    <mergeCell ref="O12:P12"/>
  </mergeCells>
  <conditionalFormatting sqref="B38:M38">
    <cfRule type="cellIs" dxfId="24" priority="29" operator="greaterThan">
      <formula>$B$42</formula>
    </cfRule>
    <cfRule type="cellIs" dxfId="23" priority="30" operator="equal">
      <formula>$B$42</formula>
    </cfRule>
    <cfRule type="cellIs" dxfId="22" priority="31" operator="lessThan">
      <formula>$B$42</formula>
    </cfRule>
  </conditionalFormatting>
  <conditionalFormatting sqref="B40:M40">
    <cfRule type="cellIs" dxfId="21" priority="19" operator="greaterThan">
      <formula>90%</formula>
    </cfRule>
    <cfRule type="cellIs" dxfId="20" priority="20" operator="between">
      <formula>85%</formula>
      <formula>90%</formula>
    </cfRule>
    <cfRule type="cellIs" dxfId="19" priority="21" operator="lessThan">
      <formula>85%</formula>
    </cfRule>
  </conditionalFormatting>
  <conditionalFormatting sqref="B41:M41">
    <cfRule type="cellIs" dxfId="18" priority="16" operator="lessThan">
      <formula>0.85</formula>
    </cfRule>
    <cfRule type="cellIs" dxfId="17" priority="17" operator="greaterThanOrEqual">
      <formula>0.9</formula>
    </cfRule>
    <cfRule type="cellIs" dxfId="16" priority="18" operator="between">
      <formula>0.85</formula>
      <formula>0.9</formula>
    </cfRule>
  </conditionalFormatting>
  <conditionalFormatting sqref="O4:P8 B4:M34">
    <cfRule type="containsText" dxfId="15" priority="1" operator="containsText" text="PERSONAL EXCP.">
      <formula>NOT(ISERROR(SEARCH("PERSONAL EXCP.",B4)))</formula>
    </cfRule>
    <cfRule type="containsText" dxfId="14" priority="32" operator="containsText" text="HOLIDAY">
      <formula>NOT(ISERROR(SEARCH("HOLIDAY",B4)))</formula>
    </cfRule>
    <cfRule type="containsText" dxfId="13" priority="34" operator="containsText" text="WFH">
      <formula>NOT(ISERROR(SEARCH("WFH",B4)))</formula>
    </cfRule>
    <cfRule type="containsText" dxfId="12" priority="36" operator="containsText" text="WEEKEND">
      <formula>NOT(ISERROR(SEARCH("WEEKEND",B4)))</formula>
    </cfRule>
    <cfRule type="containsText" dxfId="11" priority="37" operator="containsText" text="WFO">
      <formula>NOT(ISERROR(SEARCH("WFO",B4)))</formula>
    </cfRule>
    <cfRule type="containsText" dxfId="10" priority="41" operator="containsText" text="NA">
      <formula>NOT(ISERROR(SEARCH("NA",B4)))</formula>
    </cfRule>
    <cfRule type="containsText" dxfId="9" priority="42" operator="containsText" text="LEAVE">
      <formula>NOT(ISERROR(SEARCH("LEAVE",B4)))</formula>
    </cfRule>
    <cfRule type="containsText" dxfId="8" priority="43" operator="containsText" text="EXCEPTION">
      <formula>NOT(ISERROR(SEARCH("EXCEPTION",B4)))</formula>
    </cfRule>
  </conditionalFormatting>
  <conditionalFormatting sqref="O13:P16">
    <cfRule type="containsText" dxfId="7" priority="2" operator="containsText" text="HOLIDAY">
      <formula>NOT(ISERROR(SEARCH("HOLIDAY",O13)))</formula>
    </cfRule>
    <cfRule type="containsText" dxfId="6" priority="3" operator="containsText" text="WFH">
      <formula>NOT(ISERROR(SEARCH("WFH",O13)))</formula>
    </cfRule>
    <cfRule type="containsText" dxfId="5" priority="4" operator="containsText" text="WEEKEND">
      <formula>NOT(ISERROR(SEARCH("WEEKEND",O13)))</formula>
    </cfRule>
    <cfRule type="containsText" dxfId="4" priority="5" operator="containsText" text="WFO">
      <formula>NOT(ISERROR(SEARCH("WFO",O13)))</formula>
    </cfRule>
    <cfRule type="containsText" dxfId="3" priority="6" operator="containsText" text="NA">
      <formula>NOT(ISERROR(SEARCH("NA",O13)))</formula>
    </cfRule>
    <cfRule type="containsText" dxfId="2" priority="7" operator="containsText" text="LEAVE">
      <formula>NOT(ISERROR(SEARCH("LEAVE",O13)))</formula>
    </cfRule>
    <cfRule type="containsText" dxfId="1" priority="8" operator="containsText" text="EXCEPTION">
      <formula>NOT(ISERROR(SEARCH("EXCEPTION",O13)))</formula>
    </cfRule>
  </conditionalFormatting>
  <dataValidations count="1">
    <dataValidation type="list" allowBlank="1" showInputMessage="1" showErrorMessage="1" sqref="B4:M34" xr:uid="{0E27BC24-61A1-44B0-BA47-4EB3E886C428}">
      <formula1>"WFO,WFH,NO SHOW, LEAVE, NO ALLOCATION, WEEKEND, NA, EXCEPTION,HOLIDAY, PERSONAL EXCP."</formula1>
    </dataValidation>
  </dataValidations>
  <pageMargins left="0.7" right="0.7" top="0.75" bottom="0.75" header="0.3" footer="0.3"/>
  <ignoredErrors>
    <ignoredError sqref="F35" formula="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10C8-E09F-4F8F-BCB0-4FF9006E492C}">
  <sheetPr>
    <tabColor rgb="FFFFC000"/>
  </sheetPr>
  <dimension ref="A1:M21"/>
  <sheetViews>
    <sheetView zoomScale="110" zoomScaleNormal="11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4" x14ac:dyDescent="0.3"/>
  <cols>
    <col min="1" max="1" width="31.5546875" bestFit="1" customWidth="1"/>
    <col min="2" max="9" width="12.44140625" style="44" bestFit="1" customWidth="1"/>
    <col min="10" max="13" width="12.44140625" style="44" customWidth="1"/>
  </cols>
  <sheetData>
    <row r="1" spans="1:13" x14ac:dyDescent="0.3">
      <c r="B1" s="125">
        <v>2025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x14ac:dyDescent="0.3">
      <c r="A2" s="46" t="s">
        <v>61</v>
      </c>
      <c r="B2" s="46" t="s">
        <v>32</v>
      </c>
      <c r="C2" s="46" t="s">
        <v>33</v>
      </c>
      <c r="D2" s="46" t="s">
        <v>34</v>
      </c>
      <c r="E2" s="46" t="s">
        <v>35</v>
      </c>
      <c r="F2" s="46" t="s">
        <v>36</v>
      </c>
      <c r="G2" s="46" t="s">
        <v>37</v>
      </c>
      <c r="H2" s="46" t="s">
        <v>38</v>
      </c>
      <c r="I2" s="46" t="s">
        <v>39</v>
      </c>
      <c r="J2" s="46" t="s">
        <v>40</v>
      </c>
      <c r="K2" s="46" t="s">
        <v>41</v>
      </c>
      <c r="L2" s="46" t="s">
        <v>62</v>
      </c>
      <c r="M2" s="46" t="s">
        <v>43</v>
      </c>
    </row>
    <row r="3" spans="1:13" x14ac:dyDescent="0.3">
      <c r="A3" s="48" t="s">
        <v>63</v>
      </c>
      <c r="B3" s="78">
        <v>16200</v>
      </c>
      <c r="C3" s="78">
        <v>16200</v>
      </c>
      <c r="D3" s="78">
        <v>16200</v>
      </c>
      <c r="E3" s="78">
        <v>16200</v>
      </c>
      <c r="F3" s="78">
        <v>16200</v>
      </c>
      <c r="G3" s="78">
        <v>16200</v>
      </c>
      <c r="H3" s="78">
        <v>16200</v>
      </c>
      <c r="I3" s="78">
        <v>16200</v>
      </c>
      <c r="J3" s="78">
        <v>16800</v>
      </c>
      <c r="K3" s="78">
        <v>16800</v>
      </c>
      <c r="L3" s="78">
        <v>16800</v>
      </c>
      <c r="M3" s="78">
        <v>16800</v>
      </c>
    </row>
    <row r="4" spans="1:13" x14ac:dyDescent="0.3">
      <c r="A4" s="48" t="s">
        <v>64</v>
      </c>
      <c r="B4" s="78">
        <v>8100</v>
      </c>
      <c r="C4" s="78">
        <v>8100</v>
      </c>
      <c r="D4" s="78">
        <v>8100</v>
      </c>
      <c r="E4" s="78">
        <v>8100</v>
      </c>
      <c r="F4" s="78">
        <v>8100</v>
      </c>
      <c r="G4" s="78">
        <v>8100</v>
      </c>
      <c r="H4" s="78">
        <v>8100</v>
      </c>
      <c r="I4" s="78">
        <v>8100</v>
      </c>
      <c r="J4" s="78">
        <v>8400</v>
      </c>
      <c r="K4" s="78">
        <v>8400</v>
      </c>
      <c r="L4" s="78">
        <v>8400</v>
      </c>
      <c r="M4" s="78">
        <v>8400</v>
      </c>
    </row>
    <row r="5" spans="1:13" x14ac:dyDescent="0.3">
      <c r="A5" s="48" t="s">
        <v>65</v>
      </c>
      <c r="B5" s="78">
        <v>1350</v>
      </c>
      <c r="C5" s="78">
        <v>1350</v>
      </c>
      <c r="D5" s="78">
        <v>1350</v>
      </c>
      <c r="E5" s="78">
        <v>1350</v>
      </c>
      <c r="F5" s="78">
        <v>1350</v>
      </c>
      <c r="G5" s="78">
        <v>1350</v>
      </c>
      <c r="H5" s="78">
        <v>1350</v>
      </c>
      <c r="I5" s="78">
        <v>1350</v>
      </c>
      <c r="J5" s="78">
        <v>1400</v>
      </c>
      <c r="K5" s="78">
        <v>1400</v>
      </c>
      <c r="L5" s="78">
        <v>1400</v>
      </c>
      <c r="M5" s="78">
        <v>1400</v>
      </c>
    </row>
    <row r="6" spans="1:13" x14ac:dyDescent="0.3">
      <c r="A6" s="48" t="s">
        <v>66</v>
      </c>
      <c r="B6" s="78">
        <v>3321</v>
      </c>
      <c r="C6" s="78">
        <v>3321</v>
      </c>
      <c r="D6" s="78">
        <v>3321</v>
      </c>
      <c r="E6" s="78">
        <v>3321</v>
      </c>
      <c r="F6" s="78">
        <v>3321</v>
      </c>
      <c r="G6" s="78">
        <v>3321</v>
      </c>
      <c r="H6" s="78">
        <v>3321</v>
      </c>
      <c r="I6" s="78">
        <v>3321</v>
      </c>
      <c r="J6" s="78">
        <v>4686</v>
      </c>
      <c r="K6" s="78">
        <v>4686</v>
      </c>
      <c r="L6" s="78">
        <v>4686</v>
      </c>
      <c r="M6" s="78">
        <v>4686</v>
      </c>
    </row>
    <row r="7" spans="1:13" x14ac:dyDescent="0.3">
      <c r="A7" s="48" t="s">
        <v>67</v>
      </c>
      <c r="B7" s="78">
        <f t="shared" ref="B7:J7" si="0">SUM(B17:B19)</f>
        <v>7210</v>
      </c>
      <c r="C7" s="78">
        <f t="shared" si="0"/>
        <v>1895</v>
      </c>
      <c r="D7" s="78">
        <f>SUM(D17:D19)</f>
        <v>12692</v>
      </c>
      <c r="E7" s="78">
        <f t="shared" si="0"/>
        <v>7210</v>
      </c>
      <c r="F7" s="78">
        <f t="shared" si="0"/>
        <v>910</v>
      </c>
      <c r="G7" s="78">
        <f>SUM(G17:G19)</f>
        <v>910</v>
      </c>
      <c r="H7" s="78">
        <f t="shared" si="0"/>
        <v>5635</v>
      </c>
      <c r="I7" s="78">
        <f t="shared" si="0"/>
        <v>910</v>
      </c>
      <c r="J7" s="78">
        <f t="shared" si="0"/>
        <v>910</v>
      </c>
      <c r="K7" s="44">
        <f t="shared" ref="K7:M7" si="1">SUM(K17:K19)</f>
        <v>7410</v>
      </c>
      <c r="L7" s="78">
        <f t="shared" si="1"/>
        <v>910</v>
      </c>
      <c r="M7" s="78">
        <f t="shared" si="1"/>
        <v>910</v>
      </c>
    </row>
    <row r="8" spans="1:13" x14ac:dyDescent="0.3">
      <c r="A8" s="48" t="s">
        <v>68</v>
      </c>
      <c r="B8" s="78">
        <v>1200</v>
      </c>
      <c r="C8" s="78">
        <v>1200</v>
      </c>
      <c r="D8" s="78">
        <v>1200</v>
      </c>
      <c r="E8" s="78">
        <v>1200</v>
      </c>
      <c r="F8" s="78">
        <v>1200</v>
      </c>
      <c r="G8" s="78">
        <v>1200</v>
      </c>
      <c r="H8" s="78">
        <v>1200</v>
      </c>
      <c r="I8" s="78">
        <v>1200</v>
      </c>
      <c r="J8" s="78">
        <v>1200</v>
      </c>
      <c r="K8" s="78">
        <v>1200</v>
      </c>
      <c r="L8" s="78">
        <v>1200</v>
      </c>
      <c r="M8" s="78">
        <v>1200</v>
      </c>
    </row>
    <row r="9" spans="1:13" x14ac:dyDescent="0.3">
      <c r="A9" s="48" t="s">
        <v>69</v>
      </c>
      <c r="B9" s="78">
        <v>2900</v>
      </c>
      <c r="C9" s="78">
        <v>2900</v>
      </c>
      <c r="D9" s="78">
        <v>2900</v>
      </c>
      <c r="E9" s="78">
        <v>2900</v>
      </c>
      <c r="F9" s="78">
        <v>2900</v>
      </c>
      <c r="G9" s="78">
        <v>2900</v>
      </c>
      <c r="H9" s="78">
        <v>2900</v>
      </c>
      <c r="I9" s="78">
        <v>2900</v>
      </c>
      <c r="J9" s="78">
        <v>3000</v>
      </c>
      <c r="K9" s="78">
        <v>3000</v>
      </c>
      <c r="L9" s="78">
        <v>3000</v>
      </c>
      <c r="M9" s="78">
        <v>3000</v>
      </c>
    </row>
    <row r="10" spans="1:13" x14ac:dyDescent="0.3">
      <c r="A10" s="47" t="s">
        <v>70</v>
      </c>
      <c r="B10" s="78">
        <f t="shared" ref="B10:F10" si="2">SUM(B3:B9)</f>
        <v>40281</v>
      </c>
      <c r="C10" s="78">
        <f t="shared" si="2"/>
        <v>34966</v>
      </c>
      <c r="D10" s="78">
        <f t="shared" si="2"/>
        <v>45763</v>
      </c>
      <c r="E10" s="78">
        <f t="shared" si="2"/>
        <v>40281</v>
      </c>
      <c r="F10" s="78">
        <f t="shared" si="2"/>
        <v>33981</v>
      </c>
      <c r="G10" s="78">
        <f>SUM(G3:G9)</f>
        <v>33981</v>
      </c>
      <c r="H10" s="78">
        <f t="shared" ref="H10" si="3">SUM(H3:H9)</f>
        <v>38706</v>
      </c>
      <c r="I10" s="78">
        <f t="shared" ref="I10" si="4">SUM(I3:I9)</f>
        <v>33981</v>
      </c>
      <c r="J10" s="78">
        <f t="shared" ref="J10" si="5">SUM(J3:J9)</f>
        <v>36396</v>
      </c>
      <c r="K10" s="78">
        <f t="shared" ref="K10" si="6">SUM(K3:K9)</f>
        <v>42896</v>
      </c>
      <c r="L10" s="78">
        <f t="shared" ref="L10" si="7">SUM(L3:L9)</f>
        <v>36396</v>
      </c>
      <c r="M10" s="78">
        <f>SUM(M3:M9)</f>
        <v>36396</v>
      </c>
    </row>
    <row r="11" spans="1:13" x14ac:dyDescent="0.3">
      <c r="A11" s="46" t="s">
        <v>71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 x14ac:dyDescent="0.3">
      <c r="A12" s="49" t="s">
        <v>72</v>
      </c>
      <c r="B12" s="78">
        <v>1944</v>
      </c>
      <c r="C12" s="78">
        <v>1944</v>
      </c>
      <c r="D12" s="78">
        <v>1944</v>
      </c>
      <c r="E12" s="78">
        <v>1944</v>
      </c>
      <c r="F12" s="78">
        <v>1944</v>
      </c>
      <c r="G12" s="78">
        <v>1944</v>
      </c>
      <c r="H12" s="78">
        <v>1944</v>
      </c>
      <c r="I12" s="78">
        <v>1944</v>
      </c>
      <c r="J12" s="78">
        <v>2016</v>
      </c>
      <c r="K12" s="78">
        <v>2016</v>
      </c>
      <c r="L12" s="78">
        <v>2016</v>
      </c>
      <c r="M12" s="78">
        <v>2016</v>
      </c>
    </row>
    <row r="13" spans="1:13" x14ac:dyDescent="0.3">
      <c r="A13" s="49" t="s">
        <v>73</v>
      </c>
      <c r="B13" s="78">
        <v>31</v>
      </c>
      <c r="C13" s="78">
        <v>31</v>
      </c>
      <c r="D13" s="78">
        <v>40</v>
      </c>
      <c r="E13" s="78">
        <v>34</v>
      </c>
      <c r="F13" s="78">
        <v>34</v>
      </c>
      <c r="G13" s="78">
        <v>0.75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0.75</v>
      </c>
    </row>
    <row r="14" spans="1:13" x14ac:dyDescent="0.3">
      <c r="A14" s="49" t="s">
        <v>74</v>
      </c>
      <c r="B14" s="78">
        <v>0</v>
      </c>
      <c r="C14" s="78"/>
      <c r="D14" s="78"/>
      <c r="E14" s="78">
        <v>250</v>
      </c>
      <c r="F14" s="78">
        <v>1699</v>
      </c>
      <c r="G14" s="78">
        <v>1699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</row>
    <row r="15" spans="1:13" x14ac:dyDescent="0.3">
      <c r="A15" s="50" t="s">
        <v>75</v>
      </c>
      <c r="B15" s="78">
        <f t="shared" ref="B15:F15" si="8">SUM(B12:B14)</f>
        <v>1975</v>
      </c>
      <c r="C15" s="78">
        <f t="shared" si="8"/>
        <v>1975</v>
      </c>
      <c r="D15" s="78">
        <f t="shared" si="8"/>
        <v>1984</v>
      </c>
      <c r="E15" s="78">
        <f t="shared" si="8"/>
        <v>2228</v>
      </c>
      <c r="F15" s="78">
        <f t="shared" si="8"/>
        <v>3677</v>
      </c>
      <c r="G15" s="78">
        <f>SUM(G12:G14)</f>
        <v>3643.75</v>
      </c>
      <c r="H15" s="78">
        <f t="shared" ref="H15" si="9">SUM(H12:H14)</f>
        <v>1944</v>
      </c>
      <c r="I15" s="78">
        <f t="shared" ref="I15" si="10">SUM(I12:I14)</f>
        <v>1944</v>
      </c>
      <c r="J15" s="78">
        <f t="shared" ref="J15" si="11">SUM(J12:J14)</f>
        <v>2016</v>
      </c>
      <c r="K15" s="78">
        <f t="shared" ref="K15" si="12">SUM(K12:K14)</f>
        <v>2016</v>
      </c>
      <c r="L15" s="78">
        <f t="shared" ref="L15" si="13">SUM(L12:L14)</f>
        <v>2016</v>
      </c>
      <c r="M15" s="78">
        <f>SUM(M12:M14)</f>
        <v>2016.75</v>
      </c>
    </row>
    <row r="16" spans="1:13" x14ac:dyDescent="0.3">
      <c r="A16" s="46" t="s">
        <v>67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</row>
    <row r="17" spans="1:13" x14ac:dyDescent="0.3">
      <c r="A17" s="51" t="s">
        <v>76</v>
      </c>
      <c r="B17" s="78">
        <v>410</v>
      </c>
      <c r="C17" s="78">
        <v>410</v>
      </c>
      <c r="D17" s="78">
        <v>410</v>
      </c>
      <c r="E17" s="78">
        <v>410</v>
      </c>
      <c r="F17" s="78">
        <v>410</v>
      </c>
      <c r="G17" s="78">
        <v>410</v>
      </c>
      <c r="H17" s="78">
        <v>410</v>
      </c>
      <c r="I17" s="78">
        <v>410</v>
      </c>
      <c r="J17" s="78">
        <v>410</v>
      </c>
      <c r="K17" s="78">
        <v>410</v>
      </c>
      <c r="L17" s="78">
        <v>410</v>
      </c>
      <c r="M17" s="78">
        <v>410</v>
      </c>
    </row>
    <row r="18" spans="1:13" x14ac:dyDescent="0.3">
      <c r="A18" s="51" t="s">
        <v>77</v>
      </c>
      <c r="B18" s="78">
        <v>500</v>
      </c>
      <c r="C18" s="78">
        <v>500</v>
      </c>
      <c r="D18" s="78">
        <v>500</v>
      </c>
      <c r="E18" s="78">
        <v>500</v>
      </c>
      <c r="F18" s="78">
        <v>500</v>
      </c>
      <c r="G18" s="78">
        <v>500</v>
      </c>
      <c r="H18" s="78">
        <v>500</v>
      </c>
      <c r="I18" s="78">
        <v>500</v>
      </c>
      <c r="J18" s="78">
        <v>500</v>
      </c>
      <c r="K18" s="78">
        <v>500</v>
      </c>
      <c r="L18" s="78">
        <v>500</v>
      </c>
      <c r="M18" s="78">
        <v>500</v>
      </c>
    </row>
    <row r="19" spans="1:13" x14ac:dyDescent="0.3">
      <c r="A19" s="51" t="s">
        <v>78</v>
      </c>
      <c r="B19" s="78">
        <v>6300</v>
      </c>
      <c r="C19" s="78">
        <v>985</v>
      </c>
      <c r="D19" s="78">
        <v>11782</v>
      </c>
      <c r="E19" s="78">
        <v>6300</v>
      </c>
      <c r="F19" s="78">
        <v>0</v>
      </c>
      <c r="G19" s="78">
        <v>0</v>
      </c>
      <c r="H19" s="78">
        <v>4725</v>
      </c>
      <c r="I19" s="78">
        <v>0</v>
      </c>
      <c r="J19" s="78">
        <v>0</v>
      </c>
      <c r="K19" s="78">
        <v>6500</v>
      </c>
      <c r="L19" s="78">
        <v>0</v>
      </c>
      <c r="M19" s="78">
        <v>0</v>
      </c>
    </row>
    <row r="20" spans="1:13" x14ac:dyDescent="0.3">
      <c r="A20" s="5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</row>
    <row r="21" spans="1:13" x14ac:dyDescent="0.3">
      <c r="A21" s="52" t="s">
        <v>79</v>
      </c>
      <c r="B21" s="78">
        <f t="shared" ref="B21:L21" si="14">B10-B15</f>
        <v>38306</v>
      </c>
      <c r="C21" s="78">
        <f t="shared" si="14"/>
        <v>32991</v>
      </c>
      <c r="D21" s="78">
        <f t="shared" si="14"/>
        <v>43779</v>
      </c>
      <c r="E21" s="78">
        <f t="shared" si="14"/>
        <v>38053</v>
      </c>
      <c r="F21" s="78">
        <f t="shared" si="14"/>
        <v>30304</v>
      </c>
      <c r="G21" s="78">
        <f>G10-G15</f>
        <v>30337.25</v>
      </c>
      <c r="H21" s="78">
        <f t="shared" si="14"/>
        <v>36762</v>
      </c>
      <c r="I21" s="78">
        <f t="shared" si="14"/>
        <v>32037</v>
      </c>
      <c r="J21" s="78">
        <f t="shared" si="14"/>
        <v>34380</v>
      </c>
      <c r="K21" s="78">
        <f t="shared" si="14"/>
        <v>40880</v>
      </c>
      <c r="L21" s="78">
        <f t="shared" si="14"/>
        <v>34380</v>
      </c>
      <c r="M21" s="78">
        <f>M10-M15</f>
        <v>34379.25</v>
      </c>
    </row>
  </sheetData>
  <mergeCells count="1">
    <mergeCell ref="B1:M1"/>
  </mergeCells>
  <phoneticPr fontId="7" type="noConversion"/>
  <conditionalFormatting sqref="B7:K7">
    <cfRule type="cellIs" dxfId="0" priority="1" operator="greaterThan">
      <formula>910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0C46-8696-47C9-8275-75873807342B}">
  <sheetPr>
    <tabColor rgb="FF00B0F0"/>
  </sheetPr>
  <dimension ref="A1:K22"/>
  <sheetViews>
    <sheetView workbookViewId="0">
      <pane xSplit="1" ySplit="2" topLeftCell="E3" activePane="bottomRight" state="frozen"/>
      <selection pane="topRight"/>
      <selection pane="bottomLeft"/>
      <selection pane="bottomRight" activeCell="H16" sqref="H16"/>
    </sheetView>
  </sheetViews>
  <sheetFormatPr defaultRowHeight="14.4" x14ac:dyDescent="0.3"/>
  <cols>
    <col min="1" max="1" width="24.6640625" customWidth="1"/>
    <col min="2" max="2" width="18.109375" customWidth="1"/>
    <col min="3" max="3" width="18.33203125" customWidth="1"/>
    <col min="4" max="4" width="18.44140625" customWidth="1"/>
    <col min="5" max="5" width="18.33203125" customWidth="1"/>
    <col min="6" max="6" width="18.6640625" customWidth="1"/>
    <col min="7" max="7" width="18.44140625" customWidth="1"/>
    <col min="8" max="8" width="17.33203125" customWidth="1"/>
    <col min="9" max="9" width="18" customWidth="1"/>
    <col min="10" max="10" width="19.33203125" customWidth="1"/>
    <col min="11" max="11" width="19.109375" customWidth="1"/>
  </cols>
  <sheetData>
    <row r="1" spans="1:11" x14ac:dyDescent="0.3">
      <c r="A1" s="1"/>
      <c r="B1" s="127" t="s">
        <v>80</v>
      </c>
      <c r="C1" s="127"/>
      <c r="D1" s="121" t="s">
        <v>81</v>
      </c>
      <c r="E1" s="121"/>
      <c r="F1" s="121" t="s">
        <v>82</v>
      </c>
      <c r="G1" s="121"/>
      <c r="H1" s="121" t="s">
        <v>83</v>
      </c>
      <c r="I1" s="121"/>
      <c r="J1" s="121" t="s">
        <v>84</v>
      </c>
      <c r="K1" s="121"/>
    </row>
    <row r="2" spans="1:11" x14ac:dyDescent="0.3">
      <c r="A2" s="5" t="s">
        <v>85</v>
      </c>
      <c r="B2" s="6" t="s">
        <v>86</v>
      </c>
      <c r="C2" s="7" t="s">
        <v>87</v>
      </c>
      <c r="D2" s="8" t="s">
        <v>88</v>
      </c>
      <c r="E2" s="8" t="s">
        <v>89</v>
      </c>
      <c r="F2" s="9" t="s">
        <v>88</v>
      </c>
      <c r="G2" s="9" t="s">
        <v>89</v>
      </c>
      <c r="H2" s="10" t="s">
        <v>90</v>
      </c>
      <c r="I2" s="10" t="s">
        <v>91</v>
      </c>
      <c r="J2" s="19" t="s">
        <v>92</v>
      </c>
      <c r="K2" s="19" t="s">
        <v>93</v>
      </c>
    </row>
    <row r="3" spans="1:11" x14ac:dyDescent="0.3">
      <c r="A3" s="4" t="s">
        <v>63</v>
      </c>
      <c r="B3" s="23">
        <v>174000</v>
      </c>
      <c r="C3" s="24">
        <f>ROUND(B3/12,2)</f>
        <v>14500</v>
      </c>
      <c r="D3" s="25">
        <v>180000</v>
      </c>
      <c r="E3" s="25">
        <f>ROUND(D3/12,2)</f>
        <v>15000</v>
      </c>
      <c r="F3" s="26">
        <v>187200</v>
      </c>
      <c r="G3" s="26">
        <f>ROUND(F3/12,2)</f>
        <v>15600</v>
      </c>
      <c r="H3" s="27">
        <v>194400</v>
      </c>
      <c r="I3" s="27">
        <f>ROUND(H3/12,2)</f>
        <v>16200</v>
      </c>
      <c r="J3" s="28">
        <v>201600</v>
      </c>
      <c r="K3" s="28">
        <f>ROUND(J3/12,2)</f>
        <v>16800</v>
      </c>
    </row>
    <row r="4" spans="1:11" x14ac:dyDescent="0.3">
      <c r="A4" s="4" t="s">
        <v>68</v>
      </c>
      <c r="B4" s="23">
        <v>13200</v>
      </c>
      <c r="C4" s="24">
        <f t="shared" ref="C4:C14" si="0">ROUND(B4/12,2)</f>
        <v>1100</v>
      </c>
      <c r="D4" s="25">
        <v>13200</v>
      </c>
      <c r="E4" s="25">
        <f t="shared" ref="E4:E14" si="1">ROUND(D4/12,2)</f>
        <v>1100</v>
      </c>
      <c r="F4" s="26">
        <v>14400</v>
      </c>
      <c r="G4" s="26">
        <f t="shared" ref="G4:G14" si="2">ROUND(F4/12,2)</f>
        <v>1200</v>
      </c>
      <c r="H4" s="27">
        <v>14400</v>
      </c>
      <c r="I4" s="27">
        <f t="shared" ref="I4:I14" si="3">ROUND(H4/12,2)</f>
        <v>1200</v>
      </c>
      <c r="J4" s="28">
        <v>14400</v>
      </c>
      <c r="K4" s="28">
        <f t="shared" ref="K4:K14" si="4">ROUND(J4/12,2)</f>
        <v>1200</v>
      </c>
    </row>
    <row r="5" spans="1:11" x14ac:dyDescent="0.3">
      <c r="A5" s="4" t="s">
        <v>94</v>
      </c>
      <c r="B5" s="23">
        <v>19200</v>
      </c>
      <c r="C5" s="24">
        <f t="shared" si="0"/>
        <v>1600</v>
      </c>
      <c r="D5" s="25">
        <v>26400</v>
      </c>
      <c r="E5" s="25">
        <f t="shared" si="1"/>
        <v>2200</v>
      </c>
      <c r="F5" s="26">
        <v>31200</v>
      </c>
      <c r="G5" s="26">
        <f t="shared" si="2"/>
        <v>2600</v>
      </c>
      <c r="H5" s="27">
        <v>34800</v>
      </c>
      <c r="I5" s="27">
        <f t="shared" si="3"/>
        <v>2900</v>
      </c>
      <c r="J5" s="28">
        <v>36000</v>
      </c>
      <c r="K5" s="28">
        <f t="shared" si="4"/>
        <v>3000</v>
      </c>
    </row>
    <row r="6" spans="1:11" x14ac:dyDescent="0.3">
      <c r="A6" s="4" t="s">
        <v>95</v>
      </c>
      <c r="B6" s="23">
        <v>14400</v>
      </c>
      <c r="C6" s="24">
        <f t="shared" si="0"/>
        <v>1200</v>
      </c>
      <c r="D6" s="25">
        <v>19200</v>
      </c>
      <c r="E6" s="25">
        <f t="shared" si="1"/>
        <v>1600</v>
      </c>
      <c r="F6" s="26">
        <v>22800</v>
      </c>
      <c r="G6" s="26">
        <f t="shared" si="2"/>
        <v>1900</v>
      </c>
      <c r="H6" s="27">
        <v>25200</v>
      </c>
      <c r="I6" s="27">
        <f t="shared" si="3"/>
        <v>2100</v>
      </c>
      <c r="J6" s="28">
        <v>27600</v>
      </c>
      <c r="K6" s="28">
        <f t="shared" si="4"/>
        <v>2300</v>
      </c>
    </row>
    <row r="7" spans="1:11" x14ac:dyDescent="0.3">
      <c r="A7" s="4" t="s">
        <v>96</v>
      </c>
      <c r="B7" s="23">
        <v>87000</v>
      </c>
      <c r="C7" s="24">
        <f t="shared" si="0"/>
        <v>7250</v>
      </c>
      <c r="D7" s="25">
        <v>90000</v>
      </c>
      <c r="E7" s="25">
        <f t="shared" si="1"/>
        <v>7500</v>
      </c>
      <c r="F7" s="26">
        <v>93600</v>
      </c>
      <c r="G7" s="26">
        <f t="shared" si="2"/>
        <v>7800</v>
      </c>
      <c r="H7" s="27">
        <v>97200</v>
      </c>
      <c r="I7" s="27">
        <f t="shared" si="3"/>
        <v>8100</v>
      </c>
      <c r="J7" s="28">
        <v>100800</v>
      </c>
      <c r="K7" s="28">
        <f t="shared" si="4"/>
        <v>8400</v>
      </c>
    </row>
    <row r="8" spans="1:11" x14ac:dyDescent="0.3">
      <c r="A8" s="4" t="s">
        <v>97</v>
      </c>
      <c r="B8" s="23">
        <v>14500</v>
      </c>
      <c r="C8" s="24">
        <f t="shared" si="0"/>
        <v>1208.33</v>
      </c>
      <c r="D8" s="25">
        <v>15000</v>
      </c>
      <c r="E8" s="25">
        <f t="shared" si="1"/>
        <v>1250</v>
      </c>
      <c r="F8" s="26">
        <v>15600</v>
      </c>
      <c r="G8" s="26">
        <f t="shared" si="2"/>
        <v>1300</v>
      </c>
      <c r="H8" s="27">
        <v>16200</v>
      </c>
      <c r="I8" s="27">
        <f t="shared" si="3"/>
        <v>1350</v>
      </c>
      <c r="J8" s="28">
        <v>16800</v>
      </c>
      <c r="K8" s="28">
        <f t="shared" si="4"/>
        <v>1400</v>
      </c>
    </row>
    <row r="9" spans="1:11" x14ac:dyDescent="0.3">
      <c r="A9" s="4" t="s">
        <v>98</v>
      </c>
      <c r="B9" s="23">
        <v>6000</v>
      </c>
      <c r="C9" s="24">
        <f t="shared" si="0"/>
        <v>500</v>
      </c>
      <c r="D9" s="25">
        <v>6000</v>
      </c>
      <c r="E9" s="25">
        <f t="shared" si="1"/>
        <v>500</v>
      </c>
      <c r="F9" s="26">
        <v>6000</v>
      </c>
      <c r="G9" s="26">
        <f t="shared" si="2"/>
        <v>500</v>
      </c>
      <c r="H9" s="27">
        <v>6000</v>
      </c>
      <c r="I9" s="27">
        <f t="shared" si="3"/>
        <v>500</v>
      </c>
      <c r="J9" s="28">
        <v>6000</v>
      </c>
      <c r="K9" s="28">
        <f t="shared" si="4"/>
        <v>500</v>
      </c>
    </row>
    <row r="10" spans="1:11" x14ac:dyDescent="0.3">
      <c r="A10" s="4" t="s">
        <v>99</v>
      </c>
      <c r="B10" s="23">
        <v>0</v>
      </c>
      <c r="C10" s="24">
        <f t="shared" si="0"/>
        <v>0</v>
      </c>
      <c r="D10" s="25">
        <v>4920</v>
      </c>
      <c r="E10" s="25">
        <f t="shared" si="1"/>
        <v>410</v>
      </c>
      <c r="F10" s="26">
        <v>4920</v>
      </c>
      <c r="G10" s="26">
        <f t="shared" si="2"/>
        <v>410</v>
      </c>
      <c r="H10" s="27">
        <v>4920</v>
      </c>
      <c r="I10" s="27">
        <f t="shared" si="3"/>
        <v>410</v>
      </c>
      <c r="J10" s="28">
        <v>4920</v>
      </c>
      <c r="K10" s="28">
        <f t="shared" si="4"/>
        <v>410</v>
      </c>
    </row>
    <row r="11" spans="1:11" x14ac:dyDescent="0.3">
      <c r="A11" s="4" t="s">
        <v>100</v>
      </c>
      <c r="B11" s="23">
        <v>0</v>
      </c>
      <c r="C11" s="24">
        <f t="shared" si="0"/>
        <v>0</v>
      </c>
      <c r="D11" s="25">
        <v>6084</v>
      </c>
      <c r="E11" s="25">
        <f t="shared" si="1"/>
        <v>507</v>
      </c>
      <c r="F11" s="26">
        <v>15180</v>
      </c>
      <c r="G11" s="26">
        <f t="shared" si="2"/>
        <v>1265</v>
      </c>
      <c r="H11" s="27">
        <v>39852</v>
      </c>
      <c r="I11" s="27">
        <f t="shared" si="3"/>
        <v>3321</v>
      </c>
      <c r="J11" s="28">
        <v>56232</v>
      </c>
      <c r="K11" s="28">
        <f t="shared" si="4"/>
        <v>4686</v>
      </c>
    </row>
    <row r="12" spans="1:11" x14ac:dyDescent="0.3">
      <c r="A12" s="4" t="s">
        <v>101</v>
      </c>
      <c r="B12" s="29">
        <v>20880</v>
      </c>
      <c r="C12" s="30">
        <f t="shared" si="0"/>
        <v>1740</v>
      </c>
      <c r="D12" s="31">
        <v>21600</v>
      </c>
      <c r="E12" s="31">
        <f t="shared" si="1"/>
        <v>1800</v>
      </c>
      <c r="F12" s="32">
        <v>22464</v>
      </c>
      <c r="G12" s="32">
        <f t="shared" si="2"/>
        <v>1872</v>
      </c>
      <c r="H12" s="33">
        <v>23328</v>
      </c>
      <c r="I12" s="33">
        <f t="shared" si="3"/>
        <v>1944</v>
      </c>
      <c r="J12" s="34">
        <v>24192</v>
      </c>
      <c r="K12" s="34">
        <f t="shared" si="4"/>
        <v>2016</v>
      </c>
    </row>
    <row r="13" spans="1:11" x14ac:dyDescent="0.3">
      <c r="A13" s="4" t="s">
        <v>102</v>
      </c>
      <c r="B13" s="29">
        <v>8369</v>
      </c>
      <c r="C13" s="30">
        <f t="shared" si="0"/>
        <v>697.42</v>
      </c>
      <c r="D13" s="31">
        <v>8658</v>
      </c>
      <c r="E13" s="31">
        <f t="shared" si="1"/>
        <v>721.5</v>
      </c>
      <c r="F13" s="32">
        <v>9004</v>
      </c>
      <c r="G13" s="32">
        <f t="shared" si="2"/>
        <v>750.33</v>
      </c>
      <c r="H13" s="33">
        <v>9351</v>
      </c>
      <c r="I13" s="33">
        <f t="shared" si="3"/>
        <v>779.25</v>
      </c>
      <c r="J13" s="34">
        <v>9697</v>
      </c>
      <c r="K13" s="34">
        <f t="shared" si="4"/>
        <v>808.08</v>
      </c>
    </row>
    <row r="14" spans="1:11" x14ac:dyDescent="0.3">
      <c r="A14" s="4" t="s">
        <v>103</v>
      </c>
      <c r="B14" s="29">
        <v>9350</v>
      </c>
      <c r="C14" s="30">
        <f t="shared" si="0"/>
        <v>779.17</v>
      </c>
      <c r="D14" s="31">
        <v>10410</v>
      </c>
      <c r="E14" s="31">
        <f t="shared" si="1"/>
        <v>867.5</v>
      </c>
      <c r="F14" s="32">
        <v>10410</v>
      </c>
      <c r="G14" s="32">
        <f t="shared" si="2"/>
        <v>867.5</v>
      </c>
      <c r="H14" s="33">
        <v>11360</v>
      </c>
      <c r="I14" s="33">
        <f t="shared" si="3"/>
        <v>946.67</v>
      </c>
      <c r="J14" s="34">
        <v>12330</v>
      </c>
      <c r="K14" s="34">
        <f t="shared" si="4"/>
        <v>1027.5</v>
      </c>
    </row>
    <row r="15" spans="1:11" ht="15" thickBot="1" x14ac:dyDescent="0.35">
      <c r="B15" s="13"/>
      <c r="C15" s="13"/>
      <c r="D15" s="13"/>
      <c r="E15" s="13"/>
      <c r="F15" s="13"/>
      <c r="G15" s="13"/>
    </row>
    <row r="16" spans="1:11" x14ac:dyDescent="0.3">
      <c r="A16" s="11" t="s">
        <v>104</v>
      </c>
      <c r="B16" s="35">
        <f>SUM(B3:B14)</f>
        <v>366899</v>
      </c>
      <c r="C16" s="36">
        <f>+SUM(C3:C14)</f>
        <v>30574.92</v>
      </c>
      <c r="D16" s="35">
        <f t="shared" ref="D16:K16" si="5">SUM(D3:D14)</f>
        <v>401472</v>
      </c>
      <c r="E16" s="36">
        <f t="shared" si="5"/>
        <v>33456</v>
      </c>
      <c r="F16" s="35">
        <f t="shared" si="5"/>
        <v>432778</v>
      </c>
      <c r="G16" s="36">
        <f t="shared" si="5"/>
        <v>36064.83</v>
      </c>
      <c r="H16" s="35">
        <f>SUM(H3:H14)</f>
        <v>477011</v>
      </c>
      <c r="I16" s="37">
        <f t="shared" si="5"/>
        <v>39750.92</v>
      </c>
      <c r="J16" s="35">
        <f t="shared" si="5"/>
        <v>510571</v>
      </c>
      <c r="K16" s="37">
        <f t="shared" si="5"/>
        <v>42547.58</v>
      </c>
    </row>
    <row r="17" spans="1:11" x14ac:dyDescent="0.3">
      <c r="A17" s="11" t="s">
        <v>105</v>
      </c>
      <c r="B17" s="38">
        <f t="shared" ref="B17:K17" si="6">SUM(B3:B11)</f>
        <v>328300</v>
      </c>
      <c r="C17" s="39">
        <f t="shared" si="6"/>
        <v>27358.33</v>
      </c>
      <c r="D17" s="38">
        <f t="shared" si="6"/>
        <v>360804</v>
      </c>
      <c r="E17" s="39">
        <f t="shared" si="6"/>
        <v>30067</v>
      </c>
      <c r="F17" s="38">
        <f t="shared" si="6"/>
        <v>390900</v>
      </c>
      <c r="G17" s="39">
        <f t="shared" si="6"/>
        <v>32575</v>
      </c>
      <c r="H17" s="38">
        <f t="shared" si="6"/>
        <v>432972</v>
      </c>
      <c r="I17" s="40">
        <f t="shared" si="6"/>
        <v>36081</v>
      </c>
      <c r="J17" s="38">
        <f t="shared" si="6"/>
        <v>464352</v>
      </c>
      <c r="K17" s="40">
        <f t="shared" si="6"/>
        <v>38696</v>
      </c>
    </row>
    <row r="18" spans="1:11" x14ac:dyDescent="0.3">
      <c r="A18" s="11" t="s">
        <v>106</v>
      </c>
      <c r="B18" s="38">
        <f t="shared" ref="B18:K18" si="7">SUM(B12:B14)</f>
        <v>38599</v>
      </c>
      <c r="C18" s="39">
        <f t="shared" si="7"/>
        <v>3216.59</v>
      </c>
      <c r="D18" s="38">
        <f t="shared" si="7"/>
        <v>40668</v>
      </c>
      <c r="E18" s="39">
        <f t="shared" si="7"/>
        <v>3389</v>
      </c>
      <c r="F18" s="38">
        <f t="shared" si="7"/>
        <v>41878</v>
      </c>
      <c r="G18" s="39">
        <f t="shared" si="7"/>
        <v>3489.83</v>
      </c>
      <c r="H18" s="38">
        <f t="shared" si="7"/>
        <v>44039</v>
      </c>
      <c r="I18" s="40">
        <f t="shared" si="7"/>
        <v>3669.92</v>
      </c>
      <c r="J18" s="38">
        <f t="shared" si="7"/>
        <v>46219</v>
      </c>
      <c r="K18" s="40">
        <f t="shared" si="7"/>
        <v>3851.58</v>
      </c>
    </row>
    <row r="19" spans="1:11" x14ac:dyDescent="0.3">
      <c r="A19" s="84" t="s">
        <v>107</v>
      </c>
      <c r="B19" s="85"/>
      <c r="C19" s="86"/>
      <c r="D19" s="85">
        <f>D16-B16</f>
        <v>34573</v>
      </c>
      <c r="E19" s="86">
        <f>E16-C16</f>
        <v>2881.0800000000017</v>
      </c>
      <c r="F19" s="85">
        <f>F16-D16</f>
        <v>31306</v>
      </c>
      <c r="G19" s="86">
        <f>G16-E16</f>
        <v>2608.8300000000017</v>
      </c>
      <c r="H19" s="85">
        <f t="shared" ref="H19:K19" si="8">H16-F16</f>
        <v>44233</v>
      </c>
      <c r="I19" s="86">
        <f t="shared" si="8"/>
        <v>3686.0899999999965</v>
      </c>
      <c r="J19" s="85">
        <f t="shared" si="8"/>
        <v>33560</v>
      </c>
      <c r="K19" s="86">
        <f t="shared" si="8"/>
        <v>2796.6600000000035</v>
      </c>
    </row>
    <row r="20" spans="1:11" x14ac:dyDescent="0.3">
      <c r="A20" s="11" t="s">
        <v>108</v>
      </c>
      <c r="B20" s="38">
        <f t="shared" ref="B20:K20" si="9">B17-B18</f>
        <v>289701</v>
      </c>
      <c r="C20" s="39">
        <f t="shared" si="9"/>
        <v>24141.74</v>
      </c>
      <c r="D20" s="38">
        <f t="shared" si="9"/>
        <v>320136</v>
      </c>
      <c r="E20" s="39">
        <f t="shared" si="9"/>
        <v>26678</v>
      </c>
      <c r="F20" s="38">
        <f t="shared" si="9"/>
        <v>349022</v>
      </c>
      <c r="G20" s="39">
        <f t="shared" si="9"/>
        <v>29085.17</v>
      </c>
      <c r="H20" s="38">
        <f t="shared" si="9"/>
        <v>388933</v>
      </c>
      <c r="I20" s="40">
        <f t="shared" si="9"/>
        <v>32411.08</v>
      </c>
      <c r="J20" s="38">
        <f t="shared" si="9"/>
        <v>418133</v>
      </c>
      <c r="K20" s="40">
        <f t="shared" si="9"/>
        <v>34844.42</v>
      </c>
    </row>
    <row r="21" spans="1:11" ht="28.8" x14ac:dyDescent="0.3">
      <c r="A21" s="12" t="s">
        <v>109</v>
      </c>
      <c r="B21" s="38">
        <f>C21*12</f>
        <v>376100.88</v>
      </c>
      <c r="C21" s="39">
        <f>C20+7200</f>
        <v>31341.74</v>
      </c>
      <c r="D21" s="38">
        <f>E21*12</f>
        <v>406536</v>
      </c>
      <c r="E21" s="39">
        <f>E20+7200</f>
        <v>33878</v>
      </c>
      <c r="F21" s="38">
        <f>G21*12</f>
        <v>435422.04</v>
      </c>
      <c r="G21" s="39">
        <f>G20+7200</f>
        <v>36285.17</v>
      </c>
      <c r="H21" s="38">
        <f>I21*12</f>
        <v>475332.96</v>
      </c>
      <c r="I21" s="40">
        <f>I20+7200</f>
        <v>39611.08</v>
      </c>
      <c r="J21" s="38">
        <f>K21*12</f>
        <v>418133.04</v>
      </c>
      <c r="K21" s="40">
        <f>K20</f>
        <v>34844.42</v>
      </c>
    </row>
    <row r="22" spans="1:11" ht="15" thickBot="1" x14ac:dyDescent="0.35">
      <c r="A22" s="11" t="s">
        <v>110</v>
      </c>
      <c r="B22" s="41"/>
      <c r="C22" s="42">
        <f>ROUND((C20/C17)*100,2)</f>
        <v>88.24</v>
      </c>
      <c r="D22" s="41">
        <f>ROUND(((D16-B16)/B16),2)*100</f>
        <v>9</v>
      </c>
      <c r="E22" s="42">
        <f>ROUND((E20/E17)*100,2)</f>
        <v>88.73</v>
      </c>
      <c r="F22" s="41">
        <f>ROUND(((F16-D16)/D16),2)*100</f>
        <v>8</v>
      </c>
      <c r="G22" s="42">
        <f>ROUND((G20/G17)*100,2)</f>
        <v>89.29</v>
      </c>
      <c r="H22" s="41">
        <f>ROUND(((H16-F16)/F16),2)*100</f>
        <v>10</v>
      </c>
      <c r="I22" s="43">
        <f>ROUND((I20/I17)*100,2)</f>
        <v>89.83</v>
      </c>
      <c r="J22" s="41">
        <f>ROUND(((J16-H16)/H16),2)*100</f>
        <v>7.0000000000000009</v>
      </c>
      <c r="K22" s="43">
        <f>ROUND((K20/K17)*100,2)</f>
        <v>90.05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ignoredErrors>
    <ignoredError sqref="I21:I22 E21:E22 G21:G22 H21:H22" formula="1"/>
    <ignoredError sqref="J17:J18 H17:H18 F17:F18" formulaRange="1"/>
  </ignoredErrors>
  <legacyDrawing r:id="rId1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 Healthcare </vt:lpstr>
      <vt:lpstr>PASSWORDS</vt:lpstr>
      <vt:lpstr>Password</vt:lpstr>
      <vt:lpstr>Grade Duration</vt:lpstr>
      <vt:lpstr>2026</vt:lpstr>
      <vt:lpstr>Email IDs</vt:lpstr>
      <vt:lpstr>Salary Slip - 2026</vt:lpstr>
      <vt:lpstr>CTC Compare (2026)</vt:lpstr>
      <vt:lpstr>Shift Monitoring</vt:lpstr>
      <vt:lpstr>2025</vt:lpstr>
      <vt:lpstr>Salary Slip - 2025</vt:lpstr>
      <vt:lpstr>CTC Compare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Biswas</dc:creator>
  <cp:keywords/>
  <dc:description/>
  <cp:lastModifiedBy>Abhishek Biswas</cp:lastModifiedBy>
  <cp:revision/>
  <dcterms:created xsi:type="dcterms:W3CDTF">2021-06-29T16:30:28Z</dcterms:created>
  <dcterms:modified xsi:type="dcterms:W3CDTF">2026-10-14T06:30:00Z</dcterms:modified>
  <cp:category/>
  <cp:contentStatus/>
</cp:coreProperties>
</file>